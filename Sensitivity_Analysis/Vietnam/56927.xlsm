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https://unicef-my.sharepoint.com/personal/areidy_unicef_org/Documents/Documents/GitHub/rdm_analysis/RDM_calculation/Sensitivity_Analysis/Vietnam/"/>
    </mc:Choice>
  </mc:AlternateContent>
  <xr:revisionPtr revIDLastSave="0" documentId="11_E48782A23B843199AF0ADB999DB5FEF39BF5AAA0" xr6:coauthVersionLast="47" xr6:coauthVersionMax="47" xr10:uidLastSave="{00000000-0000-0000-0000-000000000000}"/>
  <bookViews>
    <workbookView xWindow="-120" yWindow="-120" windowWidth="29040" windowHeight="15840" firstSheet="6" activeTab="7" xr2:uid="{00000000-000D-0000-FFFF-FFFF00000000}"/>
  </bookViews>
  <sheets>
    <sheet name="INSTRUCTIONS" sheetId="16" r:id="rId1"/>
    <sheet name="Inventory of Schemes" sheetId="9" r:id="rId2"/>
    <sheet name="Scheme 1" sheetId="15" r:id="rId3"/>
    <sheet name="Scheme 2" sheetId="76" r:id="rId4"/>
    <sheet name="Scheme 3" sheetId="75" r:id="rId5"/>
    <sheet name="Scheme 4" sheetId="74" r:id="rId6"/>
    <sheet name="Scheme 5" sheetId="73" r:id="rId7"/>
    <sheet name="Scheme 6" sheetId="72" r:id="rId8"/>
    <sheet name="Scheme 7" sheetId="71" r:id="rId9"/>
    <sheet name="Scheme 8" sheetId="70" r:id="rId10"/>
    <sheet name="Scheme 9" sheetId="69" r:id="rId11"/>
    <sheet name="Scheme 10" sheetId="68" r:id="rId12"/>
    <sheet name="Scheme 11" sheetId="67" state="hidden" r:id="rId13"/>
    <sheet name="Scheme 12" sheetId="66" state="hidden" r:id="rId14"/>
    <sheet name="Scheme 13" sheetId="65" state="hidden" r:id="rId15"/>
    <sheet name="Scheme 14" sheetId="64" state="hidden" r:id="rId16"/>
    <sheet name="Scheme 15" sheetId="63" state="hidden" r:id="rId17"/>
    <sheet name="Scheme 16" sheetId="62" state="hidden" r:id="rId18"/>
    <sheet name="Scheme 17" sheetId="61" state="hidden" r:id="rId19"/>
    <sheet name="Scheme 18" sheetId="60" state="hidden" r:id="rId20"/>
    <sheet name="Scheme 19" sheetId="59" state="hidden" r:id="rId21"/>
    <sheet name="Scheme 20" sheetId="58" state="hidden" r:id="rId22"/>
    <sheet name="Scheme 21" sheetId="57" state="hidden" r:id="rId23"/>
    <sheet name="Scheme 22" sheetId="56" state="hidden" r:id="rId24"/>
    <sheet name="Scheme 23" sheetId="55" state="hidden" r:id="rId25"/>
    <sheet name="Scheme 24" sheetId="54" state="hidden" r:id="rId26"/>
    <sheet name="Scheme 25" sheetId="53" state="hidden" r:id="rId27"/>
    <sheet name="Scheme 26" sheetId="52" state="hidden" r:id="rId28"/>
    <sheet name="Scheme 27" sheetId="51" state="hidden" r:id="rId29"/>
    <sheet name="Scheme 28" sheetId="50" state="hidden" r:id="rId30"/>
    <sheet name="Scheme 29" sheetId="49" state="hidden" r:id="rId31"/>
    <sheet name="Scheme 30" sheetId="48" state="hidden" r:id="rId32"/>
    <sheet name="Scheme 31" sheetId="47" state="hidden" r:id="rId33"/>
    <sheet name="Scheme 32" sheetId="46" state="hidden" r:id="rId34"/>
    <sheet name="Scheme 33" sheetId="45" state="hidden" r:id="rId35"/>
    <sheet name="Scheme 34" sheetId="44" state="hidden" r:id="rId36"/>
    <sheet name="Scheme 35" sheetId="43" state="hidden" r:id="rId37"/>
    <sheet name="Scheme 36" sheetId="42" state="hidden" r:id="rId38"/>
    <sheet name="Scheme 37" sheetId="41" state="hidden" r:id="rId39"/>
    <sheet name="Scheme 38" sheetId="40" state="hidden" r:id="rId40"/>
    <sheet name="Scheme 39" sheetId="39" state="hidden" r:id="rId41"/>
    <sheet name="Scheme 40" sheetId="38" state="hidden" r:id="rId42"/>
    <sheet name="Poverty info" sheetId="2" r:id="rId43"/>
    <sheet name="HID_dropdown" sheetId="8" state="hidden" r:id="rId44"/>
    <sheet name="ADDITIONAL statistics for SDGs" sheetId="36" state="hidden" r:id="rId45"/>
    <sheet name="CALCULATIONS" sheetId="37" state="hidden" r:id="rId46"/>
  </sheets>
  <definedNames>
    <definedName name="_xlnm._FilterDatabase" localSheetId="1" hidden="1">'Inventory of Schemes'!$A$4:$AI$6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INSTRUCTIONS!$B$1:$C$65</definedName>
    <definedName name="_xlnm.Print_Area" localSheetId="1">'Inventory of Schemes'!$A$1:$AI$25</definedName>
    <definedName name="Z_05B837B4_FDDA_47B8_9D6D_B0632FFD6D77_.wvu.Cols" localSheetId="1" hidden="1">'Inventory of Schemes'!$KK:$KL,'Inventory of Schemes'!$UG:$UH,'Inventory of Schemes'!$AEC:$AED,'Inventory of Schemes'!$ANY:$ANZ,'Inventory of Schemes'!$AXU:$AXV,'Inventory of Schemes'!$BHQ:$BHR,'Inventory of Schemes'!$BRM:$BRN,'Inventory of Schemes'!$CBI:$CBJ,'Inventory of Schemes'!$CLE:$CLF,'Inventory of Schemes'!$CVA:$CVB,'Inventory of Schemes'!$DEW:$DEX,'Inventory of Schemes'!$DOS:$DOT,'Inventory of Schemes'!$DYO:$DYP,'Inventory of Schemes'!$EIK:$EIL,'Inventory of Schemes'!$ESG:$ESH,'Inventory of Schemes'!$FCC:$FCD,'Inventory of Schemes'!$FLY:$FLZ,'Inventory of Schemes'!$FVU:$FVV,'Inventory of Schemes'!$GFQ:$GFR,'Inventory of Schemes'!$GPM:$GPN,'Inventory of Schemes'!$GZI:$GZJ,'Inventory of Schemes'!$HJE:$HJF,'Inventory of Schemes'!$HTA:$HTB,'Inventory of Schemes'!$ICW:$ICX,'Inventory of Schemes'!$IMS:$IMT,'Inventory of Schemes'!$IWO:$IWP,'Inventory of Schemes'!$JGK:$JGL,'Inventory of Schemes'!$JQG:$JQH,'Inventory of Schemes'!$KAC:$KAD,'Inventory of Schemes'!$KJY:$KJZ,'Inventory of Schemes'!$KTU:$KTV,'Inventory of Schemes'!$LDQ:$LDR,'Inventory of Schemes'!$LNM:$LNN,'Inventory of Schemes'!$LXI:$LXJ,'Inventory of Schemes'!$MHE:$MHF,'Inventory of Schemes'!$MRA:$MRB,'Inventory of Schemes'!$NAW:$NAX,'Inventory of Schemes'!$NKS:$NKT,'Inventory of Schemes'!$NUO:$NUP,'Inventory of Schemes'!$OEK:$OEL,'Inventory of Schemes'!$OOG:$OOH,'Inventory of Schemes'!$OYC:$OYD,'Inventory of Schemes'!$PHY:$PHZ,'Inventory of Schemes'!$PRU:$PRV,'Inventory of Schemes'!$QBQ:$QBR,'Inventory of Schemes'!$QLM:$QLN,'Inventory of Schemes'!$QVI:$QVJ,'Inventory of Schemes'!$RFE:$RFF,'Inventory of Schemes'!$RPA:$RPB,'Inventory of Schemes'!$RYW:$RYX,'Inventory of Schemes'!$SIS:$SIT,'Inventory of Schemes'!$SSO:$SSP,'Inventory of Schemes'!$TCK:$TCL,'Inventory of Schemes'!$TMG:$TMH,'Inventory of Schemes'!$TWC:$TWD,'Inventory of Schemes'!$UFY:$UFZ,'Inventory of Schemes'!$UPU:$UPV,'Inventory of Schemes'!$UZQ:$UZR,'Inventory of Schemes'!$VJM:$VJN,'Inventory of Schemes'!$VTI:$VTJ,'Inventory of Schemes'!$WDE:$WDF,'Inventory of Schemes'!$WNA:$WNB,'Inventory of Schemes'!$WWW:$WWX</definedName>
    <definedName name="Z_05B837B4_FDDA_47B8_9D6D_B0632FFD6D77_.wvu.FilterData" localSheetId="1" hidden="1">'Inventory of Schemes'!$A$4:$AI$6</definedName>
    <definedName name="Z_05B837B4_FDDA_47B8_9D6D_B0632FFD6D77_.wvu.PrintArea" localSheetId="0" hidden="1">INSTRUCTIONS!$B$1:$C$65</definedName>
    <definedName name="Z_05B837B4_FDDA_47B8_9D6D_B0632FFD6D77_.wvu.PrintArea" localSheetId="1" hidden="1">'Inventory of Schemes'!$A$1:$AI$25</definedName>
    <definedName name="Z_43331C61_E5DE_4680_8381_52BB1541163B_.wvu.Cols" localSheetId="1" hidden="1">'Inventory of Schemes'!$KK:$KL,'Inventory of Schemes'!$UG:$UH,'Inventory of Schemes'!$AEC:$AED,'Inventory of Schemes'!$ANY:$ANZ,'Inventory of Schemes'!$AXU:$AXV,'Inventory of Schemes'!$BHQ:$BHR,'Inventory of Schemes'!$BRM:$BRN,'Inventory of Schemes'!$CBI:$CBJ,'Inventory of Schemes'!$CLE:$CLF,'Inventory of Schemes'!$CVA:$CVB,'Inventory of Schemes'!$DEW:$DEX,'Inventory of Schemes'!$DOS:$DOT,'Inventory of Schemes'!$DYO:$DYP,'Inventory of Schemes'!$EIK:$EIL,'Inventory of Schemes'!$ESG:$ESH,'Inventory of Schemes'!$FCC:$FCD,'Inventory of Schemes'!$FLY:$FLZ,'Inventory of Schemes'!$FVU:$FVV,'Inventory of Schemes'!$GFQ:$GFR,'Inventory of Schemes'!$GPM:$GPN,'Inventory of Schemes'!$GZI:$GZJ,'Inventory of Schemes'!$HJE:$HJF,'Inventory of Schemes'!$HTA:$HTB,'Inventory of Schemes'!$ICW:$ICX,'Inventory of Schemes'!$IMS:$IMT,'Inventory of Schemes'!$IWO:$IWP,'Inventory of Schemes'!$JGK:$JGL,'Inventory of Schemes'!$JQG:$JQH,'Inventory of Schemes'!$KAC:$KAD,'Inventory of Schemes'!$KJY:$KJZ,'Inventory of Schemes'!$KTU:$KTV,'Inventory of Schemes'!$LDQ:$LDR,'Inventory of Schemes'!$LNM:$LNN,'Inventory of Schemes'!$LXI:$LXJ,'Inventory of Schemes'!$MHE:$MHF,'Inventory of Schemes'!$MRA:$MRB,'Inventory of Schemes'!$NAW:$NAX,'Inventory of Schemes'!$NKS:$NKT,'Inventory of Schemes'!$NUO:$NUP,'Inventory of Schemes'!$OEK:$OEL,'Inventory of Schemes'!$OOG:$OOH,'Inventory of Schemes'!$OYC:$OYD,'Inventory of Schemes'!$PHY:$PHZ,'Inventory of Schemes'!$PRU:$PRV,'Inventory of Schemes'!$QBQ:$QBR,'Inventory of Schemes'!$QLM:$QLN,'Inventory of Schemes'!$QVI:$QVJ,'Inventory of Schemes'!$RFE:$RFF,'Inventory of Schemes'!$RPA:$RPB,'Inventory of Schemes'!$RYW:$RYX,'Inventory of Schemes'!$SIS:$SIT,'Inventory of Schemes'!$SSO:$SSP,'Inventory of Schemes'!$TCK:$TCL,'Inventory of Schemes'!$TMG:$TMH,'Inventory of Schemes'!$TWC:$TWD,'Inventory of Schemes'!$UFY:$UFZ,'Inventory of Schemes'!$UPU:$UPV,'Inventory of Schemes'!$UZQ:$UZR,'Inventory of Schemes'!$VJM:$VJN,'Inventory of Schemes'!$VTI:$VTJ,'Inventory of Schemes'!$WDE:$WDF,'Inventory of Schemes'!$WNA:$WNB,'Inventory of Schemes'!$WWW:$WWX</definedName>
    <definedName name="Z_43331C61_E5DE_4680_8381_52BB1541163B_.wvu.FilterData" localSheetId="1" hidden="1">'Inventory of Schemes'!$A$4:$AI$6</definedName>
    <definedName name="Z_43331C61_E5DE_4680_8381_52BB1541163B_.wvu.PrintArea" localSheetId="0" hidden="1">INSTRUCTIONS!$B$1:$C$65</definedName>
    <definedName name="Z_43331C61_E5DE_4680_8381_52BB1541163B_.wvu.PrintArea" localSheetId="1" hidden="1">'Inventory of Schemes'!$A$1:$AI$25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 i="76" l="1"/>
  <c r="C1" i="76"/>
  <c r="B1" i="76"/>
  <c r="D1" i="75"/>
  <c r="C1" i="75"/>
  <c r="B1" i="75"/>
  <c r="D1" i="74"/>
  <c r="C1" i="74"/>
  <c r="B1" i="74"/>
  <c r="D1" i="73"/>
  <c r="C1" i="73"/>
  <c r="B1" i="73"/>
  <c r="D1" i="72"/>
  <c r="C1" i="72"/>
  <c r="B1" i="72"/>
  <c r="D1" i="71"/>
  <c r="C1" i="71"/>
  <c r="B1" i="71"/>
  <c r="D1" i="70"/>
  <c r="C1" i="70"/>
  <c r="B1" i="70"/>
  <c r="D1" i="69"/>
  <c r="C1" i="69"/>
  <c r="B1" i="69"/>
  <c r="D1" i="68"/>
  <c r="C1" i="68"/>
  <c r="B1" i="68"/>
  <c r="D1" i="67"/>
  <c r="C1" i="67"/>
  <c r="B1" i="67"/>
  <c r="D1" i="66"/>
  <c r="C1" i="66"/>
  <c r="B1" i="66"/>
  <c r="D1" i="65"/>
  <c r="C1" i="65"/>
  <c r="B1" i="65"/>
  <c r="D1" i="64"/>
  <c r="C1" i="64"/>
  <c r="B1" i="64"/>
  <c r="D1" i="63"/>
  <c r="C1" i="63"/>
  <c r="B1" i="63"/>
  <c r="D1" i="62"/>
  <c r="C1" i="62"/>
  <c r="B1" i="62"/>
  <c r="D1" i="61"/>
  <c r="C1" i="61"/>
  <c r="B1" i="61"/>
  <c r="D1" i="60"/>
  <c r="C1" i="60"/>
  <c r="B1" i="60"/>
  <c r="D1" i="59"/>
  <c r="C1" i="59"/>
  <c r="B1" i="59"/>
  <c r="D1" i="58"/>
  <c r="C1" i="58"/>
  <c r="B1" i="58"/>
  <c r="D1" i="57"/>
  <c r="C1" i="57"/>
  <c r="B1" i="57"/>
  <c r="D1" i="56"/>
  <c r="C1" i="56"/>
  <c r="B1" i="56"/>
  <c r="D1" i="55"/>
  <c r="C1" i="55"/>
  <c r="B1" i="55"/>
  <c r="D1" i="54"/>
  <c r="C1" i="54"/>
  <c r="B1" i="54"/>
  <c r="D1" i="53"/>
  <c r="C1" i="53"/>
  <c r="B1" i="53"/>
  <c r="D1" i="52"/>
  <c r="C1" i="52"/>
  <c r="B1" i="52"/>
  <c r="D1" i="51"/>
  <c r="C1" i="51"/>
  <c r="B1" i="51"/>
  <c r="D1" i="50"/>
  <c r="C1" i="50"/>
  <c r="B1" i="50"/>
  <c r="D1" i="49"/>
  <c r="C1" i="49"/>
  <c r="B1" i="49"/>
  <c r="D1" i="48"/>
  <c r="C1" i="48"/>
  <c r="B1" i="48"/>
  <c r="D1" i="47"/>
  <c r="C1" i="47"/>
  <c r="B1" i="47"/>
  <c r="D1" i="46"/>
  <c r="C1" i="46"/>
  <c r="B1" i="46"/>
  <c r="D1" i="45"/>
  <c r="C1" i="45"/>
  <c r="B1" i="45"/>
  <c r="D1" i="44"/>
  <c r="C1" i="44"/>
  <c r="B1" i="44"/>
  <c r="D1" i="43"/>
  <c r="C1" i="43"/>
  <c r="B1" i="43"/>
  <c r="D1" i="42"/>
  <c r="C1" i="42"/>
  <c r="B1" i="42"/>
  <c r="D1" i="41"/>
  <c r="C1" i="41"/>
  <c r="B1" i="41"/>
  <c r="D1" i="40"/>
  <c r="C1" i="40"/>
  <c r="B1" i="40"/>
  <c r="D1" i="39"/>
  <c r="C1" i="39"/>
  <c r="B1" i="39"/>
  <c r="D1" i="38"/>
  <c r="C1" i="38"/>
  <c r="B1" i="38"/>
  <c r="D1" i="15"/>
  <c r="C1" i="15"/>
  <c r="B1" i="15"/>
  <c r="K17" i="37"/>
  <c r="J17" i="37"/>
  <c r="I17" i="37"/>
  <c r="K15" i="37"/>
  <c r="N15" i="37" s="1"/>
  <c r="J15" i="37"/>
  <c r="M15" i="37" s="1"/>
  <c r="I15" i="37"/>
  <c r="L15" i="37" s="1"/>
  <c r="I3" i="37"/>
  <c r="L3" i="37"/>
  <c r="K24" i="37"/>
  <c r="N24" i="37" s="1"/>
  <c r="J24" i="37"/>
  <c r="I24" i="37"/>
  <c r="I50" i="37"/>
  <c r="L50" i="37"/>
  <c r="I49" i="37"/>
  <c r="L49" i="37" s="1"/>
  <c r="I47" i="37"/>
  <c r="I48" i="37"/>
  <c r="I45" i="37"/>
  <c r="L45" i="37" s="1"/>
  <c r="I44" i="37"/>
  <c r="I43" i="37"/>
  <c r="L43" i="37" s="1"/>
  <c r="I42" i="37"/>
  <c r="L42" i="37"/>
  <c r="I34" i="37"/>
  <c r="I32" i="37"/>
  <c r="L32" i="37" s="1"/>
  <c r="I33" i="37"/>
  <c r="L33" i="37" s="1"/>
  <c r="I31" i="37"/>
  <c r="L31" i="37" s="1"/>
  <c r="I39" i="37"/>
  <c r="L39" i="37" s="1"/>
  <c r="I38" i="37"/>
  <c r="L38" i="37" s="1"/>
  <c r="I37" i="37"/>
  <c r="L37" i="37" s="1"/>
  <c r="I36" i="37"/>
  <c r="I28" i="37"/>
  <c r="L47" i="37"/>
  <c r="L36" i="37"/>
  <c r="L34" i="37"/>
  <c r="L48" i="37"/>
  <c r="L44" i="37"/>
  <c r="J12" i="37"/>
  <c r="M12" i="37" s="1"/>
  <c r="K12" i="37"/>
  <c r="N12" i="37" s="1"/>
  <c r="I12" i="37"/>
  <c r="J16" i="37"/>
  <c r="M16" i="37" s="1"/>
  <c r="K16" i="37"/>
  <c r="J18" i="37"/>
  <c r="K18" i="37"/>
  <c r="N18" i="37" s="1"/>
  <c r="J19" i="37"/>
  <c r="M19" i="37" s="1"/>
  <c r="K19" i="37"/>
  <c r="N19" i="37" s="1"/>
  <c r="J20" i="37"/>
  <c r="M20" i="37" s="1"/>
  <c r="K20" i="37"/>
  <c r="J21" i="37"/>
  <c r="K21" i="37"/>
  <c r="N21" i="37" s="1"/>
  <c r="J22" i="37"/>
  <c r="K22" i="37"/>
  <c r="J23" i="37"/>
  <c r="K23" i="37"/>
  <c r="N23" i="37" s="1"/>
  <c r="J25" i="37"/>
  <c r="M25" i="37" s="1"/>
  <c r="K25" i="37"/>
  <c r="J26" i="37"/>
  <c r="M26" i="37" s="1"/>
  <c r="K26" i="37"/>
  <c r="N26" i="37" s="1"/>
  <c r="J27" i="37"/>
  <c r="K27" i="37"/>
  <c r="N27" i="37"/>
  <c r="I27" i="37"/>
  <c r="L27" i="37" s="1"/>
  <c r="I26" i="37"/>
  <c r="I25" i="37"/>
  <c r="I23" i="37"/>
  <c r="L23" i="37" s="1"/>
  <c r="I22" i="37"/>
  <c r="I21" i="37"/>
  <c r="I20" i="37"/>
  <c r="I19" i="37"/>
  <c r="L19" i="37" s="1"/>
  <c r="I18" i="37"/>
  <c r="L18" i="37" s="1"/>
  <c r="I16" i="37"/>
  <c r="L16" i="37" s="1"/>
  <c r="J14" i="37"/>
  <c r="K14" i="37"/>
  <c r="N14" i="37" s="1"/>
  <c r="I14" i="37"/>
  <c r="J10" i="37"/>
  <c r="K10" i="37"/>
  <c r="I10" i="37"/>
  <c r="J9" i="37"/>
  <c r="M9" i="37" s="1"/>
  <c r="K9" i="37"/>
  <c r="N9" i="37" s="1"/>
  <c r="I9" i="37"/>
  <c r="K8" i="37"/>
  <c r="N8" i="37" s="1"/>
  <c r="I8" i="37"/>
  <c r="J7" i="37"/>
  <c r="K7" i="37"/>
  <c r="I7" i="37"/>
  <c r="L7" i="37" s="1"/>
  <c r="J6" i="37"/>
  <c r="K6" i="37"/>
  <c r="I6" i="37"/>
  <c r="J5" i="37"/>
  <c r="K5" i="37"/>
  <c r="I5" i="37"/>
  <c r="J4" i="37"/>
  <c r="M4" i="37" s="1"/>
  <c r="K4" i="37"/>
  <c r="I4" i="37"/>
  <c r="L4" i="37" s="1"/>
  <c r="L28" i="37"/>
  <c r="L17" i="37"/>
  <c r="M7" i="37"/>
  <c r="N10" i="37"/>
  <c r="L11" i="37"/>
  <c r="M18" i="37"/>
  <c r="M22" i="37"/>
  <c r="L24" i="37"/>
  <c r="L20" i="37"/>
  <c r="N16" i="37"/>
  <c r="N20" i="37"/>
  <c r="M14" i="37"/>
  <c r="M11" i="37"/>
  <c r="N11" i="37"/>
  <c r="L22" i="37"/>
  <c r="L26" i="37"/>
  <c r="L21" i="37"/>
  <c r="N22" i="37"/>
  <c r="M23" i="37"/>
  <c r="L25" i="37"/>
  <c r="L12" i="37"/>
  <c r="N5" i="37"/>
  <c r="M6" i="37"/>
  <c r="M17" i="37"/>
  <c r="M21" i="37"/>
  <c r="N17" i="37"/>
  <c r="N25" i="37"/>
  <c r="N4" i="37"/>
  <c r="M5" i="37"/>
  <c r="L14" i="37"/>
  <c r="L5" i="37"/>
  <c r="N6" i="37"/>
  <c r="L9" i="37"/>
  <c r="L8" i="37"/>
  <c r="M10" i="37"/>
  <c r="L6" i="37"/>
  <c r="N7" i="37"/>
  <c r="L10" i="37"/>
  <c r="M24" i="37"/>
  <c r="J28" i="37"/>
  <c r="M28" i="37" s="1"/>
  <c r="K28" i="37"/>
  <c r="N28" i="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<sst xmlns="http://schemas.openxmlformats.org/spreadsheetml/2006/main" count="3128" uniqueCount="538">
  <si>
    <t>female</t>
  </si>
  <si>
    <t>Eligibility criteria</t>
  </si>
  <si>
    <t>Question 1</t>
  </si>
  <si>
    <t xml:space="preserve">How many individuals/households were living in poverty according to the definition most commonly used in official sources (e.g. reports of national statistical offices, international organizations etc.)? </t>
  </si>
  <si>
    <t>Total Population</t>
  </si>
  <si>
    <t>Urban</t>
  </si>
  <si>
    <t>Rural</t>
  </si>
  <si>
    <t>Households</t>
  </si>
  <si>
    <t>of which</t>
  </si>
  <si>
    <t>male</t>
  </si>
  <si>
    <t>Question 2</t>
  </si>
  <si>
    <t>Poverty line for children</t>
  </si>
  <si>
    <t>Poverty line for adults</t>
  </si>
  <si>
    <t>Subsistence minimum for children</t>
  </si>
  <si>
    <t>Subsistence minimum for adults</t>
  </si>
  <si>
    <t>Poverty line for old age</t>
  </si>
  <si>
    <t>Subsistence minimum for old age</t>
  </si>
  <si>
    <t>Sickness (in cash)</t>
  </si>
  <si>
    <t>Unemployment</t>
  </si>
  <si>
    <t>Social Work Services</t>
  </si>
  <si>
    <t>Scheme 2</t>
  </si>
  <si>
    <t>Scheme 3</t>
  </si>
  <si>
    <t>old age</t>
  </si>
  <si>
    <t>disability</t>
  </si>
  <si>
    <t>maternity</t>
  </si>
  <si>
    <t>Living minimum</t>
  </si>
  <si>
    <t>Extreme poverty line</t>
  </si>
  <si>
    <t>Old Age</t>
  </si>
  <si>
    <t>Survivorships</t>
  </si>
  <si>
    <t>Employment Injury</t>
  </si>
  <si>
    <t>Healthcare</t>
  </si>
  <si>
    <t>Public Works Programs</t>
  </si>
  <si>
    <t>Housing Subsidies</t>
  </si>
  <si>
    <t>Total</t>
  </si>
  <si>
    <t>Female</t>
  </si>
  <si>
    <t>Male</t>
  </si>
  <si>
    <t>Millions</t>
  </si>
  <si>
    <t>X</t>
  </si>
  <si>
    <t>Public</t>
  </si>
  <si>
    <t>Private</t>
  </si>
  <si>
    <t>Thousands</t>
  </si>
  <si>
    <t>Billions</t>
  </si>
  <si>
    <t>Country:</t>
  </si>
  <si>
    <t>Scheme 1</t>
  </si>
  <si>
    <t>Scheme 4</t>
  </si>
  <si>
    <t>Scheme 5</t>
  </si>
  <si>
    <t>Scheme 6</t>
  </si>
  <si>
    <t>Scheme 7</t>
  </si>
  <si>
    <t>Scheme 8</t>
  </si>
  <si>
    <t>Scheme 9</t>
  </si>
  <si>
    <t>Scheme 10</t>
  </si>
  <si>
    <t>Scheme 11</t>
  </si>
  <si>
    <t>Scheme 12</t>
  </si>
  <si>
    <t>Scheme 13</t>
  </si>
  <si>
    <t>Scheme 14</t>
  </si>
  <si>
    <t>Scheme 15</t>
  </si>
  <si>
    <t>Scheme 16</t>
  </si>
  <si>
    <t>Scheme 17</t>
  </si>
  <si>
    <t>Scheme 18</t>
  </si>
  <si>
    <t>Scheme 19</t>
  </si>
  <si>
    <t>Scheme 20</t>
  </si>
  <si>
    <t>Scheme 21</t>
  </si>
  <si>
    <t>Scheme 22</t>
  </si>
  <si>
    <t>Scheme 23</t>
  </si>
  <si>
    <t>Scheme 24</t>
  </si>
  <si>
    <t>Scheme 25</t>
  </si>
  <si>
    <t>Scheme 26</t>
  </si>
  <si>
    <t>Scheme 27</t>
  </si>
  <si>
    <t>Scheme 28</t>
  </si>
  <si>
    <t>Scheme 29</t>
  </si>
  <si>
    <t>Scheme 30</t>
  </si>
  <si>
    <t>Scheme 31</t>
  </si>
  <si>
    <t>Scheme 32</t>
  </si>
  <si>
    <t>Scheme 33</t>
  </si>
  <si>
    <t>Scheme 34</t>
  </si>
  <si>
    <t>Scheme 35</t>
  </si>
  <si>
    <t>Scheme 36</t>
  </si>
  <si>
    <t>Scheme 37</t>
  </si>
  <si>
    <t>Scheme 38</t>
  </si>
  <si>
    <t>Scheme 39</t>
  </si>
  <si>
    <t>Scheme 40</t>
  </si>
  <si>
    <t>Maternity / Paternity</t>
  </si>
  <si>
    <t>Children</t>
  </si>
  <si>
    <t xml:space="preserve">Family </t>
  </si>
  <si>
    <t>Access to Education</t>
  </si>
  <si>
    <t>Food and Nutrition</t>
  </si>
  <si>
    <t>Social Assistance targeted at poverty reduction</t>
  </si>
  <si>
    <t>unemployment</t>
  </si>
  <si>
    <t>Mandatory individual account</t>
  </si>
  <si>
    <t>Provide comments or clarifications for the benefit, if necessary</t>
  </si>
  <si>
    <t>Working age population</t>
  </si>
  <si>
    <t>Self-employed</t>
  </si>
  <si>
    <t>Unemployed</t>
  </si>
  <si>
    <t>Domestic workers</t>
  </si>
  <si>
    <t>In kind</t>
  </si>
  <si>
    <t>Statutory pensionable age for old-age benefits</t>
  </si>
  <si>
    <t>Expenditure</t>
  </si>
  <si>
    <t>Instructions</t>
  </si>
  <si>
    <t>Concepts and definitions</t>
  </si>
  <si>
    <t xml:space="preserve">Please provide information about the national poverty line, level of subsistence minimum, extreme poverty line, etc </t>
  </si>
  <si>
    <t>Value in local currency</t>
  </si>
  <si>
    <t>Year</t>
  </si>
  <si>
    <t>Method of calculation</t>
  </si>
  <si>
    <r>
      <t>Social protection programme/scheme (or social security programme/scheme).</t>
    </r>
    <r>
      <rPr>
        <sz val="10"/>
        <rFont val="Verdana"/>
        <family val="2"/>
      </rPr>
      <t> Distinct framework of rules to provide social protection benefits to entitled beneficiaries. Such rules would specify the geographical and personal scope of the programme (target group), entitlement conditions, the type of benefits, benefit amounts (cash transfers), periodicity and other benefit characteristics, as well as the financing (contributions, general taxation, other sources), governance and administration of the programme. Social protection programme provides protection against a single or several risks or needs, and covers a single or several specific groups of beneficiaries.</t>
    </r>
  </si>
  <si>
    <t>* means that this function can concern several age groups. It is allocated in the group considered as the main group concerned.</t>
  </si>
  <si>
    <t>Payment of benefits</t>
  </si>
  <si>
    <t>Notes:</t>
  </si>
  <si>
    <t>Other indicators, please specify</t>
  </si>
  <si>
    <t>National poverty line</t>
  </si>
  <si>
    <r>
      <t>Contributory scheme.</t>
    </r>
    <r>
      <rPr>
        <sz val="10"/>
        <color theme="1"/>
        <rFont val="Verdana"/>
        <family val="2"/>
      </rPr>
      <t xml:space="preserve"> Scheme in which contributions made by protected persons directly determine entitlement to benefits (acquired rights). </t>
    </r>
  </si>
  <si>
    <r>
      <t>Non-contributory schemes</t>
    </r>
    <r>
      <rPr>
        <sz val="10"/>
        <rFont val="Verdana"/>
        <family val="2"/>
      </rPr>
      <t>, including non-means-tested and means-tested schemes, normally require no direct contribution from beneficiaries or their employers as a condition of en­titlement to receive relevant benefits. They include, for example, social pensions, CCT, school feeding programs, etc.</t>
    </r>
  </si>
  <si>
    <r>
      <t xml:space="preserve">Targeted / Means-tested / Social assistance scheme/programme </t>
    </r>
    <r>
      <rPr>
        <sz val="10"/>
        <rFont val="Verdana"/>
        <family val="2"/>
      </rPr>
      <t xml:space="preserve">(applied to non-contributory). A scheme that provides benefits to vulnerable groups of the population, especially households living in poverty. For instance, most of social assistance CCT schemes are means-tested. A scheme provides benefits upon proof of need and targets certain categories of persons or households whose means fall below a certain threshold, often referred to as social assistance schemes. </t>
    </r>
  </si>
  <si>
    <r>
      <rPr>
        <b/>
        <sz val="10"/>
        <color theme="1"/>
        <rFont val="Verdana"/>
        <family val="2"/>
      </rPr>
      <t>Conditionalities</t>
    </r>
    <r>
      <rPr>
        <sz val="10"/>
        <color theme="1"/>
        <rFont val="Verdana"/>
        <family val="2"/>
      </rPr>
      <t xml:space="preserve">. Cash transfer programmes that provide cash to families subject to the condition that they fulfil specific behavioural requirements are referred to as conditional cash transfer programmes (CCTs). This may mean, for example, that beneficiaries must ensure their children attend school regularly, or that they utilize basic preventative nutrition and health-care services. </t>
    </r>
  </si>
  <si>
    <t>Method and periodicity  of indexation</t>
  </si>
  <si>
    <t xml:space="preserve">Total number of people, </t>
  </si>
  <si>
    <t xml:space="preserve">Contributory/
employment period required to receive a benefit </t>
  </si>
  <si>
    <t>children</t>
  </si>
  <si>
    <t>Name of scheme 15</t>
  </si>
  <si>
    <t>Name of scheme 16</t>
  </si>
  <si>
    <t>Name of scheme 17</t>
  </si>
  <si>
    <t>Name of scheme 18</t>
  </si>
  <si>
    <t>Name of scheme 19</t>
  </si>
  <si>
    <t>Name of scheme 20</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</si>
  <si>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</si>
  <si>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</si>
  <si>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</si>
  <si>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</si>
  <si>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</si>
  <si>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</si>
  <si>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</si>
  <si>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</si>
  <si>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</si>
  <si>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</si>
  <si>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</si>
  <si>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</si>
  <si>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</si>
  <si>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</si>
  <si>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</si>
  <si>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</si>
  <si>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</si>
  <si>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</si>
  <si>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</si>
  <si>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</si>
  <si>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</si>
  <si>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</si>
  <si>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</si>
  <si>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</si>
  <si>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</si>
  <si>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</si>
  <si>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</si>
  <si>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</si>
  <si>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</si>
  <si>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</si>
  <si>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</si>
  <si>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</si>
  <si>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</si>
  <si>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</si>
  <si>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</si>
  <si>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</si>
  <si>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</si>
  <si>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</si>
  <si>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</si>
  <si>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</si>
  <si>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</si>
  <si>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</si>
  <si>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</si>
  <si>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</si>
  <si>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</si>
  <si>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</si>
  <si>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</si>
  <si>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</si>
  <si>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</si>
  <si>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</si>
  <si>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</si>
  <si>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</si>
  <si>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</si>
  <si>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</si>
  <si>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</si>
  <si>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</si>
  <si>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</si>
  <si>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</si>
  <si>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</si>
  <si>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</si>
  <si>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</si>
  <si>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</si>
  <si>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</si>
  <si>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</si>
  <si>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</si>
  <si>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</si>
  <si>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</si>
  <si>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</si>
  <si>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</si>
  <si>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</si>
  <si>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</si>
  <si>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</si>
  <si>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</si>
  <si>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</si>
  <si>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</si>
  <si>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</si>
  <si>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</si>
  <si>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</si>
  <si>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</si>
  <si>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</si>
  <si>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</si>
  <si>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</si>
  <si>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</si>
  <si>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</si>
  <si>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</si>
  <si>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</si>
  <si>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</si>
  <si>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</si>
  <si>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</si>
  <si>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</si>
  <si>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</si>
  <si>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</si>
  <si>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</si>
  <si>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</si>
  <si>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</si>
  <si>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</si>
  <si>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</si>
  <si>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</si>
  <si>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</si>
  <si>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</si>
  <si>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</si>
  <si>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</si>
  <si>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</si>
  <si>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</si>
  <si>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</si>
  <si>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</si>
  <si>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</si>
  <si>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</si>
  <si>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</si>
  <si>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</si>
  <si>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</si>
  <si>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</si>
  <si>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</si>
  <si>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</si>
  <si>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</si>
  <si>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</si>
  <si>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</si>
  <si>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</si>
  <si>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</si>
  <si>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</si>
  <si>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</si>
  <si>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</si>
  <si>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</si>
  <si>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</si>
  <si>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</si>
  <si>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</si>
  <si>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</si>
  <si>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</si>
  <si>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</si>
  <si>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</si>
  <si>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</si>
  <si>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</si>
  <si>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</si>
  <si>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</si>
  <si>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</si>
  <si>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</si>
  <si>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</si>
  <si>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</si>
  <si>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</si>
  <si>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</si>
  <si>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</si>
  <si>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</si>
  <si>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</si>
  <si>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</si>
  <si>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</si>
  <si>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</si>
  <si>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</si>
  <si>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</si>
  <si>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</si>
  <si>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 donor-funded programmes anchored in legislation</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</si>
  <si>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</si>
  <si>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</si>
  <si>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</si>
  <si>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</si>
  <si>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</si>
  <si>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</si>
  <si>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</si>
  <si>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</si>
  <si>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</si>
  <si>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</si>
  <si>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</si>
  <si>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</si>
  <si>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</si>
  <si>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Share of total population (%)</t>
  </si>
  <si>
    <t>Share of rural population (%)</t>
  </si>
  <si>
    <t>Share of urban population (%)</t>
  </si>
  <si>
    <t>(3) Go to the first sheet "Inventory of Schemes" to fill in general information about the scheme, and then use hyperlinks at Scheme 1, Scheme 2, etc. to move across the questionnaire to provide detailed information on each of the schemes. In case additional schemes are avilable, please add information about them in the inventory of schemes, and click on the number of the scheme in column A - an additional scheme sheet will appear</t>
  </si>
  <si>
    <r>
      <t xml:space="preserve">(2) General </t>
    </r>
    <r>
      <rPr>
        <sz val="9"/>
        <color indexed="8"/>
        <rFont val="Verdana"/>
        <family val="2"/>
      </rPr>
      <t xml:space="preserve">information about the schemes has been pre-filled based on the latest Social Security Inquiry (SSI) received. Edit as needed. If fields are not applicable to a particular function these will disappear automatically or you may specify 'Non applicable' if needed. </t>
    </r>
  </si>
  <si>
    <t>Name of Scheme 2</t>
  </si>
  <si>
    <t>Name of Scheme 3</t>
  </si>
  <si>
    <t>Name of Scheme 4</t>
  </si>
  <si>
    <t>Name of Scheme 5</t>
  </si>
  <si>
    <t>Name of Scheme 6</t>
  </si>
  <si>
    <t>Name of Scheme 7</t>
  </si>
  <si>
    <t>Name of Scheme 8</t>
  </si>
  <si>
    <t>Name of Scheme 9</t>
  </si>
  <si>
    <t>Name of Scheme 10</t>
  </si>
  <si>
    <t>Name of Scheme 11</t>
  </si>
  <si>
    <t>Name of Scheme 12</t>
  </si>
  <si>
    <t>Name of Scheme 13</t>
  </si>
  <si>
    <t>Name of Scheme 14</t>
  </si>
  <si>
    <t xml:space="preserve">Headcount / Number
</t>
  </si>
  <si>
    <t>Name of scheme 21</t>
  </si>
  <si>
    <t>Name of scheme 22</t>
  </si>
  <si>
    <t>Name of scheme 23</t>
  </si>
  <si>
    <t>Name of scheme 24</t>
  </si>
  <si>
    <t>Name of scheme 25</t>
  </si>
  <si>
    <t>Name of scheme 26</t>
  </si>
  <si>
    <t>Name of scheme 27</t>
  </si>
  <si>
    <t>Name of scheme 28</t>
  </si>
  <si>
    <t>Name of scheme 29</t>
  </si>
  <si>
    <t>Name of scheme 30</t>
  </si>
  <si>
    <t>Name of scheme 31</t>
  </si>
  <si>
    <t>Name of scheme 32</t>
  </si>
  <si>
    <t>Name of scheme 33</t>
  </si>
  <si>
    <t>Name of scheme 34</t>
  </si>
  <si>
    <t>Name of scheme 35</t>
  </si>
  <si>
    <t>Name of scheme 36</t>
  </si>
  <si>
    <t>Name of scheme 37</t>
  </si>
  <si>
    <t>Name of scheme 38</t>
  </si>
  <si>
    <t>Name of scheme 39</t>
  </si>
  <si>
    <t>Name of scheme 40</t>
  </si>
  <si>
    <t>BACK to Inventory of Schemes</t>
  </si>
  <si>
    <r>
      <rPr>
        <b/>
        <sz val="10"/>
        <color theme="1"/>
        <rFont val="Verdana"/>
        <family val="2"/>
      </rPr>
      <t xml:space="preserve">Universal scheme/categorical scheme </t>
    </r>
    <r>
      <rPr>
        <sz val="10"/>
        <rFont val="Verdana"/>
        <family val="2"/>
      </rPr>
      <t xml:space="preserve">(applied to non-contributory) provides </t>
    </r>
    <r>
      <rPr>
        <sz val="10"/>
        <color theme="1"/>
        <rFont val="Verdana"/>
        <family val="2"/>
      </rPr>
      <t>benefits under the single condition of residence. However, the term is also often used to describe categorical schemes that provide benefits to certain broad categories of the population without a means test or proxy means test. The most frequent forms of such schemes are those that transfer income to older persons above a certain age, to all persons with disabilities, or to children below a certain age.</t>
    </r>
  </si>
  <si>
    <t>Invalidity / Disability</t>
  </si>
  <si>
    <t>Survivors</t>
  </si>
  <si>
    <t>Maternity</t>
  </si>
  <si>
    <t>Sickness</t>
  </si>
  <si>
    <t>Family</t>
  </si>
  <si>
    <t>Contributory</t>
  </si>
  <si>
    <t>Non-contributory</t>
  </si>
  <si>
    <t>In cash</t>
  </si>
  <si>
    <t>Invalidity/disability</t>
  </si>
  <si>
    <t>Periodic</t>
  </si>
  <si>
    <t>Lump-sum</t>
  </si>
  <si>
    <t>Conditional</t>
  </si>
  <si>
    <t>Unconditional</t>
  </si>
  <si>
    <t>Benefit 1</t>
  </si>
  <si>
    <t>Benefit 2</t>
  </si>
  <si>
    <t>Benefit 3</t>
  </si>
  <si>
    <t>Benefit 4</t>
  </si>
  <si>
    <t>Benefit 5</t>
  </si>
  <si>
    <t>Benefit 6</t>
  </si>
  <si>
    <t>Benefit 7</t>
  </si>
  <si>
    <t>Benefit 8</t>
  </si>
  <si>
    <t>Benefit 9</t>
  </si>
  <si>
    <t>Benefit 10</t>
  </si>
  <si>
    <t>Benefit 11</t>
  </si>
  <si>
    <t>Benefit 12</t>
  </si>
  <si>
    <t>Benefit 13</t>
  </si>
  <si>
    <t>Benefit 14</t>
  </si>
  <si>
    <t>Benefit 15</t>
  </si>
  <si>
    <r>
      <rPr>
        <sz val="11"/>
        <rFont val="Calibri"/>
        <family val="2"/>
        <scheme val="minor"/>
      </rPr>
      <t xml:space="preserve">(1) Please read the Technical Guide and other related documents at: </t>
    </r>
    <r>
      <rPr>
        <u/>
        <sz val="11"/>
        <color rgb="FF0000FF"/>
        <rFont val="Calibri"/>
        <family val="2"/>
        <scheme val="minor"/>
      </rPr>
      <t>http://www.social-protection.org/gimi/ShowTheme.action?id=10</t>
    </r>
  </si>
  <si>
    <t>Contributory or
non-contributory?</t>
  </si>
  <si>
    <t>Public or private administration?</t>
  </si>
  <si>
    <t>Other support/assistance n.e.c</t>
  </si>
  <si>
    <t>Note</t>
  </si>
  <si>
    <t xml:space="preserve">Social Protection Functions covered by the scheme (please select all that apply) </t>
  </si>
  <si>
    <t>Not yet implemented</t>
  </si>
  <si>
    <t>Type of programme</t>
  </si>
  <si>
    <t>Legal Status</t>
  </si>
  <si>
    <t>Social insurance</t>
  </si>
  <si>
    <t>Social assistance</t>
  </si>
  <si>
    <t>Employer liability</t>
  </si>
  <si>
    <t>Universal</t>
  </si>
  <si>
    <t>Provident fund</t>
  </si>
  <si>
    <t>Notional defined contribution (NDC)</t>
  </si>
  <si>
    <t>Occupational pension</t>
  </si>
  <si>
    <t>Both</t>
  </si>
  <si>
    <t xml:space="preserve">Benefit under this scheme </t>
  </si>
  <si>
    <t xml:space="preserve">Contributory/ non-contributory </t>
  </si>
  <si>
    <t>Function covered</t>
  </si>
  <si>
    <t>Working age</t>
  </si>
  <si>
    <t>Employees (salaried workers)</t>
  </si>
  <si>
    <t>All residents</t>
  </si>
  <si>
    <t>Public sector employees</t>
  </si>
  <si>
    <t>Private sector employees</t>
  </si>
  <si>
    <t>Benefit is paid in cash or in kind</t>
  </si>
  <si>
    <t>Periodic or lump-sum</t>
  </si>
  <si>
    <r>
      <t xml:space="preserve">For cash benefits, state the </t>
    </r>
    <r>
      <rPr>
        <b/>
        <sz val="10"/>
        <rFont val="Arial Narrow"/>
        <family val="2"/>
      </rPr>
      <t>minimum</t>
    </r>
    <r>
      <rPr>
        <sz val="10"/>
        <rFont val="Arial Narrow"/>
        <family val="2"/>
      </rPr>
      <t xml:space="preserve"> monthly amount paid</t>
    </r>
  </si>
  <si>
    <t>in local currency</t>
  </si>
  <si>
    <r>
      <t xml:space="preserve">For cash benefits, state the </t>
    </r>
    <r>
      <rPr>
        <b/>
        <sz val="10"/>
        <rFont val="Arial Narrow"/>
        <family val="2"/>
      </rPr>
      <t>average</t>
    </r>
    <r>
      <rPr>
        <sz val="10"/>
        <rFont val="Arial Narrow"/>
        <family val="2"/>
      </rPr>
      <t xml:space="preserve"> monthly amount paid</t>
    </r>
  </si>
  <si>
    <t>by age group</t>
  </si>
  <si>
    <t>All employed (employees+self-employed)</t>
  </si>
  <si>
    <t>All ages</t>
  </si>
  <si>
    <t>Migrant workers</t>
  </si>
  <si>
    <t>Poor population</t>
  </si>
  <si>
    <t>Elderly</t>
  </si>
  <si>
    <t>Targeted (means-tested)</t>
  </si>
  <si>
    <t>Targeted (benefit-tested)</t>
  </si>
  <si>
    <t>Universal/categorical (not means-tested)</t>
  </si>
  <si>
    <t>Year:</t>
  </si>
  <si>
    <t>Contact:</t>
  </si>
  <si>
    <t>E-mail:</t>
  </si>
  <si>
    <t>Mandatory or voluntary contribution?</t>
  </si>
  <si>
    <t>Mandatory</t>
  </si>
  <si>
    <t>Voluntary</t>
  </si>
  <si>
    <t>Not anchored (charity/NGO, etc)</t>
  </si>
  <si>
    <t>Anchored in national legislation</t>
  </si>
  <si>
    <t>Cash transfer (cond. or unconditional)</t>
  </si>
  <si>
    <t>Other employment-related (indicate in note)</t>
  </si>
  <si>
    <t>Other not-employment-related (indicate in note)</t>
  </si>
  <si>
    <r>
      <t xml:space="preserve">Number of beneficiaries (persons who receive benefits)
</t>
    </r>
    <r>
      <rPr>
        <sz val="8"/>
        <rFont val="Arial Narrow"/>
        <family val="2"/>
      </rPr>
      <t xml:space="preserve">- for </t>
    </r>
    <r>
      <rPr>
        <u/>
        <sz val="8"/>
        <rFont val="Arial Narrow"/>
        <family val="2"/>
      </rPr>
      <t>healthcare,</t>
    </r>
    <r>
      <rPr>
        <sz val="8"/>
        <rFont val="Arial Narrow"/>
        <family val="2"/>
      </rPr>
      <t xml:space="preserve"> provide the total number of protected persons, including family members; 
- for </t>
    </r>
    <r>
      <rPr>
        <u/>
        <sz val="8"/>
        <rFont val="Arial Narrow"/>
        <family val="2"/>
      </rPr>
      <t xml:space="preserve">short-term benefits </t>
    </r>
    <r>
      <rPr>
        <sz val="8"/>
        <rFont val="Arial Narrow"/>
        <family val="2"/>
      </rPr>
      <t>(sickness, maternity, unemployment, etc), provide the number of beneficiaries at a given point in time or average over the year</t>
    </r>
  </si>
  <si>
    <t>All areas</t>
  </si>
  <si>
    <r>
      <t xml:space="preserve">In case of contributory, 
</t>
    </r>
    <r>
      <rPr>
        <b/>
        <sz val="10"/>
        <rFont val="Arial Narrow"/>
        <family val="2"/>
      </rPr>
      <t xml:space="preserve">number of active contributors </t>
    </r>
    <r>
      <rPr>
        <sz val="10"/>
        <rFont val="Arial Narrow"/>
        <family val="2"/>
      </rPr>
      <t xml:space="preserve">(persons) </t>
    </r>
  </si>
  <si>
    <r>
      <rPr>
        <b/>
        <sz val="10"/>
        <rFont val="Arial Narrow"/>
        <family val="2"/>
      </rPr>
      <t>Number of beneficiaries</t>
    </r>
    <r>
      <rPr>
        <sz val="10"/>
        <rFont val="Arial Narrow"/>
        <family val="2"/>
      </rPr>
      <t xml:space="preserve"> 
(persons who receive benefits)
</t>
    </r>
    <r>
      <rPr>
        <sz val="9"/>
        <rFont val="Arial Narrow"/>
        <family val="2"/>
      </rPr>
      <t xml:space="preserve">- for </t>
    </r>
    <r>
      <rPr>
        <u/>
        <sz val="9"/>
        <rFont val="Arial Narrow"/>
        <family val="2"/>
      </rPr>
      <t>healthcare,</t>
    </r>
    <r>
      <rPr>
        <sz val="9"/>
        <rFont val="Arial Narrow"/>
        <family val="2"/>
      </rPr>
      <t xml:space="preserve"> provide the total number of protected persons, including family members; 
-for </t>
    </r>
    <r>
      <rPr>
        <u/>
        <sz val="9"/>
        <rFont val="Arial Narrow"/>
        <family val="2"/>
      </rPr>
      <t xml:space="preserve">short-term benefits </t>
    </r>
    <r>
      <rPr>
        <sz val="9"/>
        <rFont val="Arial Narrow"/>
        <family val="2"/>
      </rPr>
      <t>(sickness, maternity, unemployment, etc), provide the number of beneficiaries at a given point in time or average over the year</t>
    </r>
  </si>
  <si>
    <t xml:space="preserve">Male </t>
  </si>
  <si>
    <t>Poverty reduction</t>
  </si>
  <si>
    <t>Conditional or unconditional cash transfers</t>
  </si>
  <si>
    <r>
      <t xml:space="preserve">Other criteria if applicable 
</t>
    </r>
    <r>
      <rPr>
        <i/>
        <sz val="10"/>
        <rFont val="Arial Narrow"/>
        <family val="2"/>
      </rPr>
      <t>(please specify)</t>
    </r>
  </si>
  <si>
    <r>
      <rPr>
        <b/>
        <sz val="10"/>
        <rFont val="Arial Narrow"/>
        <family val="2"/>
      </rPr>
      <t xml:space="preserve">Number of people paying contributions </t>
    </r>
    <r>
      <rPr>
        <sz val="10"/>
        <rFont val="Arial Narrow"/>
        <family val="2"/>
      </rPr>
      <t>into the scheme during the reporting period (if applicable)</t>
    </r>
  </si>
  <si>
    <t>select from the list</t>
  </si>
  <si>
    <t>by geo area</t>
  </si>
  <si>
    <t>Effective coverage</t>
  </si>
  <si>
    <t>Population groups legally covered 
(as insured contributors or entitled beneficiaries)</t>
  </si>
  <si>
    <t>Name of the scheme (programme) 
in original language</t>
  </si>
  <si>
    <t xml:space="preserve">
Name of the scheme (programme) 
in English, if applicable</t>
  </si>
  <si>
    <t xml:space="preserve">
Name of the institution 
administering the scheme (programme)</t>
  </si>
  <si>
    <t>LIST_Func</t>
  </si>
  <si>
    <t>LIST_PopGrp</t>
  </si>
  <si>
    <t>LIST_AgrGrp</t>
  </si>
  <si>
    <t>LIST_Area</t>
  </si>
  <si>
    <t>List_MVol</t>
  </si>
  <si>
    <t>LIST_CKnd</t>
  </si>
  <si>
    <t>LIST_Test</t>
  </si>
  <si>
    <t>LIST_Per</t>
  </si>
  <si>
    <t>LIST_Con</t>
  </si>
  <si>
    <t>LIST_Cuni</t>
  </si>
  <si>
    <t>LIST_LSta</t>
  </si>
  <si>
    <t>LIST_PPrv</t>
  </si>
  <si>
    <t>LIST_CNon</t>
  </si>
  <si>
    <t>LIST_X</t>
  </si>
  <si>
    <t>LIST_TPro</t>
  </si>
  <si>
    <t>Select the unit here</t>
  </si>
  <si>
    <r>
      <t xml:space="preserve">Total </t>
    </r>
    <r>
      <rPr>
        <b/>
        <sz val="10"/>
        <rFont val="Arial Narrow"/>
        <family val="2"/>
      </rPr>
      <t>expenditure</t>
    </r>
    <r>
      <rPr>
        <sz val="10"/>
        <rFont val="Arial Narrow"/>
        <family val="2"/>
      </rPr>
      <t xml:space="preserve"> in national currency 
</t>
    </r>
    <r>
      <rPr>
        <i/>
        <sz val="10"/>
        <rFont val="Arial Narrow"/>
        <family val="2"/>
      </rPr>
      <t>(latest available year)</t>
    </r>
  </si>
  <si>
    <r>
      <t xml:space="preserve">Total </t>
    </r>
    <r>
      <rPr>
        <b/>
        <sz val="10"/>
        <rFont val="Arial Narrow"/>
        <family val="2"/>
      </rPr>
      <t>administrative expenditure</t>
    </r>
    <r>
      <rPr>
        <sz val="10"/>
        <rFont val="Arial Narrow"/>
        <family val="2"/>
      </rPr>
      <t xml:space="preserve"> in national currency
</t>
    </r>
    <r>
      <rPr>
        <i/>
        <sz val="10"/>
        <rFont val="Arial Narrow"/>
        <family val="2"/>
      </rPr>
      <t>(last available year)</t>
    </r>
  </si>
  <si>
    <r>
      <t xml:space="preserve">Total </t>
    </r>
    <r>
      <rPr>
        <b/>
        <sz val="10"/>
        <rFont val="Arial Narrow"/>
        <family val="2"/>
      </rPr>
      <t>revenue</t>
    </r>
    <r>
      <rPr>
        <sz val="10"/>
        <rFont val="Arial Narrow"/>
        <family val="2"/>
      </rPr>
      <t xml:space="preserve"> in national currency 
</t>
    </r>
    <r>
      <rPr>
        <i/>
        <sz val="10"/>
        <rFont val="Arial Narrow"/>
        <family val="2"/>
      </rPr>
      <t>(latest available year)</t>
    </r>
  </si>
  <si>
    <t>Other (indicate in note)</t>
  </si>
  <si>
    <t>Workers in a specific sector (indicate in note)</t>
  </si>
  <si>
    <t>Click on Scheme_# link to provide details on the scheme</t>
  </si>
  <si>
    <t>Population group(s)</t>
  </si>
  <si>
    <r>
      <t xml:space="preserve">Universal 
</t>
    </r>
    <r>
      <rPr>
        <sz val="9"/>
        <rFont val="Arial Narrow"/>
        <family val="2"/>
      </rPr>
      <t>(not means-tested or benefit-tested)</t>
    </r>
    <r>
      <rPr>
        <sz val="10"/>
        <rFont val="Arial Narrow"/>
        <family val="2"/>
      </rPr>
      <t xml:space="preserve">  
or targeted 
</t>
    </r>
    <r>
      <rPr>
        <sz val="9"/>
        <rFont val="Arial Narrow"/>
        <family val="2"/>
      </rPr>
      <t>(means-tested or benefit-tested)</t>
    </r>
  </si>
  <si>
    <r>
      <t>Total expenditure</t>
    </r>
    <r>
      <rPr>
        <sz val="9"/>
        <rFont val="Arial Narrow"/>
        <family val="2"/>
      </rPr>
      <t xml:space="preserve"> (including administrative costs)</t>
    </r>
  </si>
  <si>
    <t>Name of the benefit 
In original language</t>
  </si>
  <si>
    <t>Name of the benefit 
in English, if available</t>
  </si>
  <si>
    <t>Sheet name list</t>
  </si>
  <si>
    <t>INSTRUCTIONS</t>
  </si>
  <si>
    <t>Inventory of Schemes</t>
  </si>
  <si>
    <t>Poverty info</t>
  </si>
  <si>
    <t>HID_dropdown</t>
  </si>
  <si>
    <t>Scheme 41</t>
  </si>
  <si>
    <t>Scheme 42</t>
  </si>
  <si>
    <t>Scheme 43</t>
  </si>
  <si>
    <t>Scheme 44</t>
  </si>
  <si>
    <t>Scheme 45</t>
  </si>
  <si>
    <t>Scheme 46</t>
  </si>
  <si>
    <t>Scheme 47</t>
  </si>
  <si>
    <t>Scheme 48</t>
  </si>
  <si>
    <t>Scheme 49</t>
  </si>
  <si>
    <t>Scheme 50</t>
  </si>
  <si>
    <t>Scheme 51</t>
  </si>
  <si>
    <t>Scheme 52</t>
  </si>
  <si>
    <t>Scheme 53</t>
  </si>
  <si>
    <t>Scheme 54</t>
  </si>
  <si>
    <t>Scheme 55</t>
  </si>
  <si>
    <t>Scheme 56</t>
  </si>
  <si>
    <t>Scheme 57</t>
  </si>
  <si>
    <t>Scheme 58</t>
  </si>
  <si>
    <t>Scheme 59</t>
  </si>
  <si>
    <t>Scheme 60</t>
  </si>
  <si>
    <t>Scheme 61</t>
  </si>
  <si>
    <t>Scheme 62</t>
  </si>
  <si>
    <t>Scheme 63</t>
  </si>
  <si>
    <t>Scheme 64</t>
  </si>
  <si>
    <t>Scheme 65</t>
  </si>
  <si>
    <t>Scheme 66</t>
  </si>
  <si>
    <t>Scheme 67</t>
  </si>
  <si>
    <t>Scheme 68</t>
  </si>
  <si>
    <t>Scheme 69</t>
  </si>
  <si>
    <t>Scheme 70</t>
  </si>
  <si>
    <t>Scheme 71</t>
  </si>
  <si>
    <t>Scheme 72</t>
  </si>
  <si>
    <t>Scheme 73</t>
  </si>
  <si>
    <t>Scheme 74</t>
  </si>
  <si>
    <t>Scheme 75</t>
  </si>
  <si>
    <t>Scheme 76</t>
  </si>
  <si>
    <t>Scheme 77</t>
  </si>
  <si>
    <t>Scheme 78</t>
  </si>
  <si>
    <t>Scheme 79</t>
  </si>
  <si>
    <t>Scheme 80</t>
  </si>
  <si>
    <t>Scheme 81</t>
  </si>
  <si>
    <t>Scheme 82</t>
  </si>
  <si>
    <t>Scheme 83</t>
  </si>
  <si>
    <t>Scheme 84</t>
  </si>
  <si>
    <t>Scheme 85</t>
  </si>
  <si>
    <t>Scheme 86</t>
  </si>
  <si>
    <t>Scheme 87</t>
  </si>
  <si>
    <t>Scheme 88</t>
  </si>
  <si>
    <t>Scheme 89</t>
  </si>
  <si>
    <t>Scheme 90</t>
  </si>
  <si>
    <t>Scheme 91</t>
  </si>
  <si>
    <t>Scheme 92</t>
  </si>
  <si>
    <t>Scheme 93</t>
  </si>
  <si>
    <t>Scheme 94</t>
  </si>
  <si>
    <t>Scheme 95</t>
  </si>
  <si>
    <t>Scheme 96</t>
  </si>
  <si>
    <t>Scheme 97</t>
  </si>
  <si>
    <t>Scheme 98</t>
  </si>
  <si>
    <t>Scheme 99</t>
  </si>
  <si>
    <t>Scheme 100</t>
  </si>
  <si>
    <t>Poverty Info</t>
  </si>
  <si>
    <t>Click to fill Poverty_Info sheet</t>
  </si>
  <si>
    <t>Translation procedure</t>
  </si>
  <si>
    <t>Macro to copy scheme 1</t>
  </si>
  <si>
    <t>Macro to protect all sheets</t>
  </si>
  <si>
    <t>Macro to unprotect all sheets</t>
  </si>
  <si>
    <r>
      <rPr>
        <b/>
        <sz val="10"/>
        <rFont val="Arial Narrow"/>
        <family val="2"/>
      </rPr>
      <t xml:space="preserve">Once completed, please return the questionnaire to: </t>
    </r>
    <r>
      <rPr>
        <sz val="10"/>
        <rFont val="Arial Narrow"/>
        <family val="2"/>
      </rPr>
      <t>Valeria Nesterenko (</t>
    </r>
    <r>
      <rPr>
        <u/>
        <sz val="10"/>
        <color rgb="FF0000FF"/>
        <rFont val="Arial Narrow"/>
        <family val="2"/>
      </rPr>
      <t>socprodata@ilo.org</t>
    </r>
    <r>
      <rPr>
        <u/>
        <sz val="10"/>
        <color theme="10"/>
        <rFont val="Arial Narrow"/>
        <family val="2"/>
      </rPr>
      <t>)</t>
    </r>
  </si>
  <si>
    <r>
      <rPr>
        <sz val="11"/>
        <rFont val="Calibri"/>
        <family val="2"/>
        <scheme val="minor"/>
      </rPr>
      <t xml:space="preserve">(4) Send the completed questionnaire to </t>
    </r>
    <r>
      <rPr>
        <u/>
        <sz val="11"/>
        <color rgb="FF0000FF"/>
        <rFont val="Calibri"/>
        <family val="2"/>
        <scheme val="minor"/>
      </rPr>
      <t xml:space="preserve">socprodata@ilo.org </t>
    </r>
    <r>
      <rPr>
        <sz val="11"/>
        <rFont val="Calibri"/>
        <family val="2"/>
        <scheme val="minor"/>
      </rPr>
      <t>by 15 June 2019.</t>
    </r>
  </si>
  <si>
    <t>Translate INSTRUCTIONS sheet</t>
  </si>
  <si>
    <t>Translate botton Go to</t>
  </si>
  <si>
    <t>Update the deadline</t>
  </si>
  <si>
    <t>Translate content of Inventory of Schemes</t>
  </si>
  <si>
    <t>Translate the sheet name</t>
  </si>
  <si>
    <t>Do not translate sheet name of Scheme 1</t>
  </si>
  <si>
    <t>Translate content of Scheme 1</t>
  </si>
  <si>
    <t>Translate content of Poverty Info</t>
  </si>
  <si>
    <t xml:space="preserve">Translate dropdown values </t>
  </si>
  <si>
    <t>Translate sheets name list</t>
  </si>
  <si>
    <t>Macro to rename all sheets (for 40 or 100schemes)</t>
  </si>
  <si>
    <t>6 bis</t>
  </si>
  <si>
    <t>Macro to hide unnecessary sheets</t>
  </si>
  <si>
    <t>Just in case, unhide all</t>
  </si>
  <si>
    <t>BACK to Inventory</t>
  </si>
  <si>
    <r>
      <t xml:space="preserve">Maximum duration of benefit provision </t>
    </r>
    <r>
      <rPr>
        <i/>
        <sz val="10"/>
        <rFont val="Arial Narrow"/>
        <family val="2"/>
      </rPr>
      <t>(for short-term benefits)</t>
    </r>
    <r>
      <rPr>
        <sz val="10"/>
        <rFont val="Arial Narrow"/>
        <family val="2"/>
      </rPr>
      <t xml:space="preserve"> or age limit</t>
    </r>
  </si>
  <si>
    <t>Name of Scheme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</si>
</sst>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59"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sz val="9"/>
      <color indexed="8"/>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i/>
      <sz val="10"/>
      <name val="Arial Narrow"/>
      <family val="2"/>
    </font>
    <font>
      <u/>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b/>
      <sz val="10"/>
      <color rgb="FF0000FF"/>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i/>
      <sz val="10"/>
      <color theme="1"/>
      <name val="Arial Narrow"/>
      <family val="2"/>
    </font>
    <font>
      <b/>
      <sz val="12"/>
      <color theme="1"/>
      <name val="Arial Narrow"/>
      <family val="2"/>
    </font>
    <font>
      <b/>
      <u/>
      <sz val="10"/>
      <color theme="10"/>
      <name val="Arial Narrow"/>
      <family val="2"/>
    </font>
    <font>
      <sz val="12"/>
      <color theme="1"/>
      <name val="Arial Narrow"/>
      <family val="2"/>
    </font>
    <font>
      <b/>
      <sz val="12"/>
      <name val="Arial Narrow"/>
      <family val="2"/>
    </font>
    <font>
      <sz val="12"/>
      <name val="Arial Narrow"/>
      <family val="2"/>
    </font>
    <font>
      <u/>
      <sz val="9"/>
      <color rgb="FF0000FF"/>
      <name val="Arial Narrow"/>
      <family val="2"/>
    </font>
    <font>
      <b/>
      <u/>
      <sz val="10"/>
      <color rgb="FF0000FF"/>
      <name val="Arial Narrow"/>
      <family val="2"/>
    </font>
    <font>
      <u/>
      <sz val="8"/>
      <color rgb="FF0000FF"/>
      <name val="Arial Narrow"/>
      <family val="2"/>
    </font>
    <font>
      <b/>
      <u/>
      <sz val="9"/>
      <color rgb="FF0000FF"/>
      <name val="Arial Narrow"/>
      <family val="2"/>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s>
  <borders count="1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
      <left style="thick">
        <color theme="0"/>
      </left>
      <right style="thick">
        <color theme="1" tint="0.499984740745262"/>
      </right>
      <top style="thick">
        <color theme="0"/>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6" fillId="13" borderId="0" applyNumberFormat="0" applyBorder="0" applyAlignment="0" applyProtection="0"/>
    <xf numFmtId="0" fontId="17" fillId="14" borderId="0" applyNumberFormat="0" applyBorder="0" applyAlignment="0" applyProtection="0"/>
  </cellStyleXfs>
  <cellXfs count="285">
    <xf numFmtId="0" fontId="0" fillId="0" borderId="0" xfId="0"/>
    <xf numFmtId="0" fontId="0" fillId="0" borderId="0" xfId="0" applyFill="1" applyBorder="1"/>
    <xf numFmtId="0" fontId="0" fillId="0" borderId="0" xfId="0"/>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4" fillId="0" borderId="6" xfId="0" applyFont="1" applyFill="1" applyBorder="1" applyAlignment="1">
      <alignment vertical="center" wrapText="1"/>
    </xf>
    <xf numFmtId="166" fontId="14" fillId="0" borderId="6" xfId="0" applyNumberFormat="1" applyFont="1" applyFill="1" applyBorder="1" applyAlignment="1">
      <alignment vertical="center" wrapText="1"/>
    </xf>
    <xf numFmtId="0" fontId="0" fillId="0" borderId="0" xfId="0" applyFont="1" applyAlignment="1">
      <alignment wrapText="1"/>
    </xf>
    <xf numFmtId="0" fontId="0" fillId="0" borderId="6" xfId="0" applyFont="1" applyBorder="1" applyAlignment="1">
      <alignment vertical="center" wrapText="1"/>
    </xf>
    <xf numFmtId="0" fontId="0" fillId="0" borderId="6" xfId="0" applyFont="1" applyBorder="1" applyAlignment="1">
      <alignment wrapText="1"/>
    </xf>
    <xf numFmtId="0" fontId="0" fillId="0" borderId="6" xfId="0" applyFont="1" applyBorder="1" applyAlignment="1">
      <alignment horizontal="left" wrapText="1" indent="10"/>
    </xf>
    <xf numFmtId="9" fontId="0" fillId="0" borderId="0" xfId="4" applyFont="1" applyAlignment="1">
      <alignment wrapText="1"/>
    </xf>
    <xf numFmtId="0" fontId="0" fillId="0" borderId="6" xfId="0" applyFont="1" applyFill="1" applyBorder="1" applyAlignment="1">
      <alignment wrapText="1"/>
    </xf>
    <xf numFmtId="1" fontId="0" fillId="4" borderId="6" xfId="0" applyNumberFormat="1" applyFon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ont="1" applyFill="1" applyBorder="1" applyAlignment="1"/>
    <xf numFmtId="1" fontId="0" fillId="4" borderId="4" xfId="0" applyNumberFormat="1" applyFont="1" applyFill="1" applyBorder="1" applyAlignment="1"/>
    <xf numFmtId="1" fontId="0" fillId="4" borderId="8" xfId="0" applyNumberFormat="1" applyFont="1" applyFill="1" applyBorder="1" applyAlignment="1"/>
    <xf numFmtId="0" fontId="0" fillId="4" borderId="8" xfId="0" applyFont="1" applyFill="1" applyBorder="1" applyAlignment="1"/>
    <xf numFmtId="0" fontId="0" fillId="4" borderId="4" xfId="0" applyFont="1" applyFill="1" applyBorder="1"/>
    <xf numFmtId="1" fontId="0" fillId="4" borderId="4" xfId="0" applyNumberFormat="1" applyFont="1" applyFill="1" applyBorder="1"/>
    <xf numFmtId="1" fontId="0" fillId="4" borderId="8" xfId="0" applyNumberFormat="1" applyFont="1" applyFill="1" applyBorder="1"/>
    <xf numFmtId="0" fontId="0" fillId="4" borderId="1" xfId="0" applyFont="1" applyFill="1" applyBorder="1"/>
    <xf numFmtId="1" fontId="0" fillId="4" borderId="1" xfId="0" applyNumberFormat="1" applyFont="1" applyFill="1" applyBorder="1"/>
    <xf numFmtId="1" fontId="0" fillId="0" borderId="0" xfId="0" applyNumberFormat="1" applyFont="1" applyAlignment="1">
      <alignment wrapText="1"/>
    </xf>
    <xf numFmtId="0" fontId="15" fillId="12" borderId="14" xfId="0" applyFont="1" applyFill="1" applyBorder="1"/>
    <xf numFmtId="0" fontId="13" fillId="0" borderId="8" xfId="0" applyFont="1" applyBorder="1" applyAlignment="1">
      <alignment horizontal="center" vertical="center" textRotation="90" wrapText="1"/>
    </xf>
    <xf numFmtId="0" fontId="15" fillId="15" borderId="6" xfId="6" applyFont="1" applyFill="1" applyBorder="1" applyAlignment="1">
      <alignment horizontal="center" vertical="center" wrapText="1"/>
    </xf>
    <xf numFmtId="1" fontId="16" fillId="13" borderId="6" xfId="5" applyNumberFormat="1" applyBorder="1" applyAlignment="1">
      <alignment horizontal="center" vertical="center" wrapText="1"/>
    </xf>
    <xf numFmtId="0" fontId="16" fillId="13" borderId="6" xfId="5" applyBorder="1" applyAlignment="1">
      <alignment horizontal="center" vertical="center" wrapText="1"/>
    </xf>
    <xf numFmtId="1" fontId="16" fillId="13" borderId="6" xfId="5" applyNumberFormat="1" applyBorder="1" applyAlignment="1">
      <alignment horizontal="center" wrapText="1"/>
    </xf>
    <xf numFmtId="9" fontId="16" fillId="13" borderId="6" xfId="5" applyNumberFormat="1" applyBorder="1" applyAlignment="1">
      <alignment horizontal="center" wrapText="1"/>
    </xf>
    <xf numFmtId="1" fontId="0" fillId="0" borderId="6" xfId="0" applyNumberFormat="1" applyFont="1" applyBorder="1" applyAlignment="1">
      <alignment horizontal="center" vertical="center" wrapText="1"/>
    </xf>
    <xf numFmtId="9" fontId="0" fillId="0" borderId="13" xfId="4" applyFont="1" applyBorder="1" applyAlignment="1">
      <alignment horizontal="center" vertical="center" wrapText="1"/>
    </xf>
    <xf numFmtId="0" fontId="0" fillId="0" borderId="6" xfId="0" applyFont="1" applyBorder="1" applyAlignment="1">
      <alignment horizontal="center" vertical="center" wrapText="1"/>
    </xf>
    <xf numFmtId="9" fontId="0" fillId="0" borderId="6" xfId="4" applyFont="1" applyBorder="1" applyAlignment="1">
      <alignment horizontal="center" vertical="center" wrapText="1"/>
    </xf>
    <xf numFmtId="0" fontId="0" fillId="0" borderId="6" xfId="0"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Fill="1" applyBorder="1" applyAlignment="1">
      <alignment horizontal="center"/>
    </xf>
    <xf numFmtId="1" fontId="0" fillId="0" borderId="6" xfId="0" applyNumberFormat="1" applyFont="1" applyBorder="1" applyAlignment="1">
      <alignment horizontal="center" wrapText="1"/>
    </xf>
    <xf numFmtId="0" fontId="0" fillId="0" borderId="6" xfId="0" applyFont="1" applyBorder="1" applyAlignment="1">
      <alignment horizontal="center" wrapText="1"/>
    </xf>
    <xf numFmtId="9" fontId="0" fillId="0" borderId="6" xfId="4" applyFont="1" applyBorder="1" applyAlignment="1">
      <alignment horizontal="center" wrapText="1"/>
    </xf>
    <xf numFmtId="0" fontId="0" fillId="0" borderId="13" xfId="0" applyFont="1" applyBorder="1" applyAlignment="1">
      <alignment wrapText="1"/>
    </xf>
    <xf numFmtId="0" fontId="14" fillId="0" borderId="15" xfId="0" applyFont="1" applyFill="1" applyBorder="1" applyAlignment="1">
      <alignment vertical="center" wrapText="1"/>
    </xf>
    <xf numFmtId="0" fontId="0" fillId="0" borderId="15" xfId="0" applyFont="1" applyBorder="1" applyAlignment="1">
      <alignment vertical="center" wrapText="1"/>
    </xf>
    <xf numFmtId="1" fontId="0" fillId="0" borderId="15" xfId="0" applyNumberFormat="1" applyFont="1" applyBorder="1" applyAlignment="1">
      <alignment horizontal="center" vertical="center" wrapText="1"/>
    </xf>
    <xf numFmtId="9" fontId="0" fillId="0" borderId="15" xfId="4" applyFont="1" applyBorder="1" applyAlignment="1">
      <alignment horizontal="center" vertical="center" wrapText="1"/>
    </xf>
    <xf numFmtId="0" fontId="14" fillId="0" borderId="8" xfId="0" applyFont="1" applyFill="1" applyBorder="1" applyAlignment="1">
      <alignment vertical="center" wrapText="1"/>
    </xf>
    <xf numFmtId="0" fontId="0" fillId="0" borderId="8" xfId="0" applyFont="1" applyBorder="1" applyAlignment="1">
      <alignment vertical="center" wrapText="1"/>
    </xf>
    <xf numFmtId="1" fontId="0" fillId="0" borderId="8" xfId="0" applyNumberFormat="1" applyFont="1" applyBorder="1" applyAlignment="1">
      <alignment horizontal="center" vertical="center" wrapText="1"/>
    </xf>
    <xf numFmtId="0" fontId="0" fillId="0" borderId="8" xfId="0" applyFont="1"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applyAlignment="1"/>
    <xf numFmtId="0" fontId="0" fillId="0" borderId="13" xfId="0" applyBorder="1" applyAlignment="1">
      <alignment wrapText="1"/>
    </xf>
    <xf numFmtId="1" fontId="0" fillId="0" borderId="13" xfId="0" applyNumberFormat="1" applyBorder="1" applyAlignment="1">
      <alignment horizontal="center" wrapText="1"/>
    </xf>
    <xf numFmtId="0" fontId="0" fillId="0" borderId="13" xfId="0" applyBorder="1" applyAlignment="1">
      <alignment horizontal="center" wrapText="1"/>
    </xf>
    <xf numFmtId="1" fontId="0" fillId="0" borderId="13" xfId="0" applyNumberFormat="1" applyFont="1" applyBorder="1" applyAlignment="1">
      <alignment horizontal="center" wrapText="1"/>
    </xf>
    <xf numFmtId="0" fontId="0" fillId="0" borderId="13" xfId="0" applyFont="1" applyBorder="1" applyAlignment="1">
      <alignment horizontal="center" wrapText="1"/>
    </xf>
    <xf numFmtId="9" fontId="0" fillId="0" borderId="13" xfId="4" applyFont="1" applyBorder="1" applyAlignment="1">
      <alignment horizontal="center" wrapText="1"/>
    </xf>
    <xf numFmtId="0" fontId="0" fillId="0" borderId="15" xfId="0" applyFont="1" applyBorder="1" applyAlignment="1">
      <alignment wrapText="1"/>
    </xf>
    <xf numFmtId="0" fontId="0" fillId="0" borderId="0" xfId="0"/>
    <xf numFmtId="0" fontId="0" fillId="3" borderId="0" xfId="0" applyFill="1"/>
    <xf numFmtId="0" fontId="10" fillId="3" borderId="0" xfId="0" applyFont="1" applyFill="1" applyAlignment="1">
      <alignment horizontal="left" vertical="center" readingOrder="1"/>
    </xf>
    <xf numFmtId="0" fontId="8" fillId="3" borderId="0" xfId="0" applyFont="1" applyFill="1" applyAlignment="1">
      <alignment horizontal="left" vertical="top" wrapText="1"/>
    </xf>
    <xf numFmtId="0" fontId="12" fillId="3" borderId="0" xfId="0" applyFont="1" applyFill="1" applyAlignment="1">
      <alignment horizontal="left" vertical="top" wrapText="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6" fillId="3" borderId="0" xfId="0" applyFont="1" applyFill="1" applyBorder="1" applyAlignment="1">
      <alignment horizontal="left" vertical="top" wrapText="1"/>
    </xf>
    <xf numFmtId="0" fontId="11"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4" fillId="3" borderId="0" xfId="2" applyFill="1" applyBorder="1" applyAlignment="1">
      <alignment horizontal="left" vertical="top" wrapText="1"/>
    </xf>
    <xf numFmtId="0" fontId="22" fillId="0" borderId="0" xfId="0" applyFont="1" applyAlignment="1">
      <alignment vertical="top"/>
    </xf>
    <xf numFmtId="0" fontId="22" fillId="0" borderId="0" xfId="0" applyFont="1" applyFill="1" applyAlignment="1">
      <alignment vertical="top"/>
    </xf>
    <xf numFmtId="0" fontId="22" fillId="0" borderId="0" xfId="0" applyFont="1" applyFill="1" applyBorder="1" applyAlignment="1">
      <alignment horizontal="center" vertical="top"/>
    </xf>
    <xf numFmtId="0" fontId="22" fillId="0" borderId="0" xfId="0" applyFont="1" applyAlignment="1">
      <alignment horizontal="center" vertical="top"/>
    </xf>
    <xf numFmtId="0" fontId="22" fillId="0" borderId="0" xfId="0" applyFont="1" applyFill="1" applyBorder="1" applyAlignment="1">
      <alignment horizontal="left" vertical="top"/>
    </xf>
    <xf numFmtId="0" fontId="22" fillId="0" borderId="0" xfId="0" applyFont="1" applyFill="1" applyBorder="1" applyAlignment="1">
      <alignment vertical="top"/>
    </xf>
    <xf numFmtId="0" fontId="22" fillId="0" borderId="0" xfId="0" applyFont="1" applyBorder="1" applyAlignment="1">
      <alignment vertical="top"/>
    </xf>
    <xf numFmtId="0" fontId="22" fillId="0" borderId="0" xfId="0" applyFont="1" applyBorder="1" applyAlignment="1">
      <alignment horizontal="left" vertical="top"/>
    </xf>
    <xf numFmtId="0" fontId="22" fillId="3" borderId="0" xfId="0" applyFont="1" applyFill="1" applyAlignment="1">
      <alignment vertical="top"/>
    </xf>
    <xf numFmtId="0" fontId="22" fillId="3" borderId="0" xfId="0" applyFont="1" applyFill="1" applyBorder="1" applyAlignment="1">
      <alignment horizontal="left" vertical="top"/>
    </xf>
    <xf numFmtId="0" fontId="22" fillId="3" borderId="0" xfId="0" applyFont="1" applyFill="1" applyAlignment="1">
      <alignment vertical="top" wrapText="1"/>
    </xf>
    <xf numFmtId="0" fontId="22" fillId="3" borderId="0" xfId="0" applyFont="1" applyFill="1" applyAlignment="1">
      <alignment horizontal="left" vertical="top"/>
    </xf>
    <xf numFmtId="0" fontId="22" fillId="3" borderId="0" xfId="0" applyFont="1" applyFill="1" applyBorder="1" applyAlignment="1">
      <alignment vertical="top"/>
    </xf>
    <xf numFmtId="0" fontId="29" fillId="0" borderId="0" xfId="0" applyFont="1" applyProtection="1">
      <protection locked="0"/>
    </xf>
    <xf numFmtId="0" fontId="29" fillId="0" borderId="0" xfId="0" applyFont="1" applyAlignment="1" applyProtection="1">
      <alignment horizontal="left" vertical="top" wrapText="1"/>
      <protection locked="0"/>
    </xf>
    <xf numFmtId="0" fontId="29" fillId="0" borderId="0" xfId="0" applyFont="1" applyAlignment="1" applyProtection="1">
      <alignment horizontal="left" vertical="top"/>
      <protection locked="0"/>
    </xf>
    <xf numFmtId="0" fontId="29" fillId="3" borderId="0" xfId="0" applyFont="1" applyFill="1" applyProtection="1"/>
    <xf numFmtId="0" fontId="22" fillId="3" borderId="0" xfId="0" applyFont="1" applyFill="1" applyBorder="1" applyAlignment="1" applyProtection="1">
      <alignment horizontal="center" vertical="top"/>
    </xf>
    <xf numFmtId="0" fontId="22" fillId="3" borderId="0" xfId="0" applyFont="1" applyFill="1" applyAlignment="1" applyProtection="1">
      <alignment vertical="top"/>
    </xf>
    <xf numFmtId="0" fontId="22" fillId="3" borderId="0" xfId="0" applyFont="1" applyFill="1" applyAlignment="1" applyProtection="1">
      <alignment horizontal="center" vertical="top"/>
    </xf>
    <xf numFmtId="0" fontId="22" fillId="3" borderId="0" xfId="0" applyFont="1" applyFill="1" applyBorder="1" applyProtection="1"/>
    <xf numFmtId="0" fontId="32" fillId="9" borderId="6" xfId="0" applyFont="1" applyFill="1" applyBorder="1" applyAlignment="1" applyProtection="1">
      <alignment horizontal="center"/>
    </xf>
    <xf numFmtId="0" fontId="29" fillId="3" borderId="0" xfId="0" applyFont="1" applyFill="1" applyAlignment="1" applyProtection="1">
      <alignment horizontal="left" vertical="top"/>
    </xf>
    <xf numFmtId="0" fontId="37" fillId="2" borderId="5" xfId="0" applyFont="1" applyFill="1" applyBorder="1" applyAlignment="1" applyProtection="1">
      <alignment vertical="center" wrapText="1"/>
    </xf>
    <xf numFmtId="0" fontId="37" fillId="2" borderId="5" xfId="0" applyFont="1" applyFill="1" applyBorder="1" applyAlignment="1" applyProtection="1">
      <alignment vertical="center"/>
    </xf>
    <xf numFmtId="0" fontId="37" fillId="2" borderId="2" xfId="0" applyFont="1" applyFill="1" applyBorder="1" applyAlignment="1" applyProtection="1">
      <alignment vertical="center"/>
    </xf>
    <xf numFmtId="0" fontId="37" fillId="2" borderId="3" xfId="0" applyFont="1" applyFill="1" applyBorder="1" applyAlignment="1" applyProtection="1">
      <alignment vertical="center"/>
    </xf>
    <xf numFmtId="0" fontId="22" fillId="3" borderId="0" xfId="0" applyFont="1" applyFill="1" applyAlignment="1" applyProtection="1">
      <alignment horizontal="right" vertical="top"/>
    </xf>
    <xf numFmtId="0" fontId="22" fillId="0" borderId="12" xfId="0" applyFont="1" applyBorder="1" applyAlignment="1" applyProtection="1">
      <alignment horizontal="left" vertical="top" wrapText="1"/>
      <protection locked="0"/>
    </xf>
    <xf numFmtId="0" fontId="22" fillId="0" borderId="3" xfId="0" applyFont="1" applyBorder="1" applyAlignment="1" applyProtection="1">
      <alignment horizontal="left" vertical="top" wrapText="1"/>
      <protection locked="0"/>
    </xf>
    <xf numFmtId="0" fontId="29" fillId="16" borderId="0" xfId="0" applyFont="1" applyFill="1" applyAlignment="1" applyProtection="1">
      <alignment horizontal="left" vertical="top" wrapText="1"/>
      <protection locked="0"/>
    </xf>
    <xf numFmtId="0" fontId="38" fillId="2" borderId="16" xfId="2" applyFont="1" applyFill="1" applyBorder="1" applyAlignment="1" applyProtection="1">
      <alignment horizontal="left" vertical="center" wrapText="1"/>
      <protection locked="0"/>
    </xf>
    <xf numFmtId="0" fontId="21" fillId="3" borderId="0" xfId="0" applyFont="1" applyFill="1" applyAlignment="1" applyProtection="1">
      <alignment horizontal="left" vertical="top"/>
    </xf>
    <xf numFmtId="0" fontId="24" fillId="16" borderId="0" xfId="0" applyFont="1" applyFill="1" applyBorder="1" applyAlignment="1" applyProtection="1">
      <alignment horizontal="left" vertical="top" wrapText="1"/>
      <protection locked="0"/>
    </xf>
    <xf numFmtId="0" fontId="21" fillId="0" borderId="0" xfId="0" applyFont="1" applyFill="1" applyBorder="1" applyAlignment="1">
      <alignment horizontal="right" vertical="top"/>
    </xf>
    <xf numFmtId="0" fontId="25" fillId="0" borderId="0" xfId="0" applyFont="1" applyFill="1" applyBorder="1" applyAlignment="1" applyProtection="1">
      <alignment horizontal="left" vertical="top" wrapText="1"/>
    </xf>
    <xf numFmtId="0" fontId="22" fillId="3" borderId="0" xfId="0" applyFont="1" applyFill="1" applyAlignment="1" applyProtection="1">
      <alignment vertical="top"/>
      <protection locked="0"/>
    </xf>
    <xf numFmtId="0" fontId="22" fillId="3" borderId="0" xfId="0" applyFont="1" applyFill="1" applyBorder="1" applyAlignment="1" applyProtection="1">
      <alignment horizontal="left" vertical="top"/>
      <protection locked="0"/>
    </xf>
    <xf numFmtId="0" fontId="22" fillId="0" borderId="0" xfId="0" applyFont="1" applyFill="1" applyBorder="1" applyAlignment="1" applyProtection="1">
      <alignment horizontal="center" vertical="top"/>
      <protection locked="0"/>
    </xf>
    <xf numFmtId="0" fontId="22" fillId="0" borderId="0" xfId="0" applyFont="1" applyAlignment="1" applyProtection="1">
      <alignment vertical="top"/>
      <protection locked="0"/>
    </xf>
    <xf numFmtId="0" fontId="46" fillId="2" borderId="1" xfId="0" applyFont="1" applyFill="1" applyBorder="1" applyAlignment="1" applyProtection="1">
      <alignment vertical="center"/>
    </xf>
    <xf numFmtId="0" fontId="45" fillId="0" borderId="0" xfId="0" applyFont="1" applyFill="1" applyBorder="1" applyAlignment="1">
      <alignment horizontal="left" vertical="top" wrapText="1"/>
    </xf>
    <xf numFmtId="0" fontId="41" fillId="0" borderId="0" xfId="0" applyFont="1" applyFill="1" applyBorder="1" applyAlignment="1">
      <alignment horizontal="left" vertical="top" wrapText="1"/>
    </xf>
    <xf numFmtId="0" fontId="42" fillId="0" borderId="0" xfId="0" applyFont="1" applyFill="1" applyBorder="1" applyAlignment="1">
      <alignment horizontal="left" vertical="top" wrapText="1"/>
    </xf>
    <xf numFmtId="0" fontId="25" fillId="0" borderId="0" xfId="0" applyFont="1" applyFill="1" applyBorder="1" applyAlignment="1">
      <alignment horizontal="left" vertical="top" wrapText="1"/>
    </xf>
    <xf numFmtId="0" fontId="32" fillId="3" borderId="0" xfId="0" applyFont="1" applyFill="1" applyAlignment="1" applyProtection="1">
      <alignment horizontal="right" vertical="top"/>
    </xf>
    <xf numFmtId="0" fontId="21" fillId="0" borderId="0" xfId="0" applyFont="1" applyFill="1" applyBorder="1" applyAlignment="1">
      <alignment horizontal="left" vertical="top"/>
    </xf>
    <xf numFmtId="0" fontId="22" fillId="0" borderId="0" xfId="0" applyFont="1" applyAlignment="1">
      <alignment horizontal="left" vertical="top"/>
    </xf>
    <xf numFmtId="0" fontId="29" fillId="3" borderId="11" xfId="0" applyFont="1" applyFill="1" applyBorder="1" applyAlignment="1" applyProtection="1">
      <alignment horizontal="center"/>
    </xf>
    <xf numFmtId="0" fontId="29" fillId="0" borderId="11" xfId="0" applyFont="1" applyBorder="1" applyAlignment="1" applyProtection="1">
      <alignment horizontal="center"/>
      <protection locked="0"/>
    </xf>
    <xf numFmtId="0" fontId="22" fillId="3" borderId="0" xfId="0" applyFont="1" applyFill="1" applyBorder="1" applyAlignment="1" applyProtection="1">
      <alignment horizontal="left" vertical="top"/>
    </xf>
    <xf numFmtId="0" fontId="31" fillId="3" borderId="10" xfId="2" applyFont="1" applyFill="1" applyBorder="1" applyAlignment="1" applyProtection="1">
      <alignment vertical="top"/>
      <protection locked="0"/>
    </xf>
    <xf numFmtId="0" fontId="31" fillId="3" borderId="11" xfId="2" applyFont="1" applyFill="1" applyBorder="1" applyAlignment="1" applyProtection="1">
      <alignment vertical="top"/>
      <protection locked="0"/>
    </xf>
    <xf numFmtId="0" fontId="22" fillId="3" borderId="0" xfId="0" applyFont="1" applyFill="1" applyAlignment="1" applyProtection="1">
      <alignment horizontal="left" vertical="top"/>
      <protection locked="0"/>
    </xf>
    <xf numFmtId="0" fontId="22" fillId="0" borderId="0" xfId="0" applyFont="1" applyFill="1" applyAlignment="1" applyProtection="1">
      <alignment horizontal="left" vertical="top"/>
      <protection locked="0"/>
    </xf>
    <xf numFmtId="0" fontId="22" fillId="2" borderId="0" xfId="0" applyFont="1" applyFill="1" applyAlignment="1" applyProtection="1">
      <alignment horizontal="left" vertical="top"/>
      <protection locked="0"/>
    </xf>
    <xf numFmtId="0" fontId="22" fillId="0" borderId="13" xfId="0" applyFont="1" applyBorder="1" applyAlignment="1" applyProtection="1">
      <alignment horizontal="left" vertical="top" wrapText="1"/>
      <protection locked="0"/>
    </xf>
    <xf numFmtId="0" fontId="29" fillId="3" borderId="0" xfId="0" applyFont="1" applyFill="1" applyAlignment="1" applyProtection="1">
      <alignment horizontal="left" vertical="top" wrapText="1"/>
      <protection locked="0"/>
    </xf>
    <xf numFmtId="0" fontId="29" fillId="3" borderId="0" xfId="0" applyFont="1" applyFill="1" applyAlignment="1">
      <alignment vertical="top"/>
    </xf>
    <xf numFmtId="0" fontId="29" fillId="0" borderId="0" xfId="0" applyFont="1" applyAlignment="1">
      <alignment vertical="top"/>
    </xf>
    <xf numFmtId="0" fontId="29" fillId="0" borderId="0" xfId="0" applyFont="1" applyAlignment="1" applyProtection="1">
      <alignment vertical="top"/>
      <protection locked="0"/>
    </xf>
    <xf numFmtId="0" fontId="29" fillId="3" borderId="0" xfId="0" applyFont="1" applyFill="1" applyBorder="1" applyAlignment="1">
      <alignment vertical="top"/>
    </xf>
    <xf numFmtId="0" fontId="29" fillId="0" borderId="0" xfId="0" applyFont="1" applyFill="1" applyAlignment="1" applyProtection="1">
      <alignment vertical="top"/>
      <protection locked="0"/>
    </xf>
    <xf numFmtId="0" fontId="29" fillId="0" borderId="0" xfId="0" applyFont="1" applyFill="1" applyBorder="1" applyAlignment="1">
      <alignment vertical="top"/>
    </xf>
    <xf numFmtId="0" fontId="51" fillId="3" borderId="0" xfId="2" applyFont="1" applyFill="1" applyBorder="1" applyAlignment="1" applyProtection="1">
      <alignment horizontal="left" vertical="top" wrapText="1"/>
      <protection locked="0"/>
    </xf>
    <xf numFmtId="0" fontId="29" fillId="3" borderId="0" xfId="0" applyFont="1" applyFill="1" applyBorder="1" applyAlignment="1" applyProtection="1">
      <alignment horizontal="left" vertical="top"/>
    </xf>
    <xf numFmtId="165" fontId="33" fillId="3" borderId="0" xfId="1" applyNumberFormat="1" applyFont="1" applyFill="1" applyBorder="1" applyAlignment="1" applyProtection="1">
      <alignment horizontal="left" vertical="top"/>
    </xf>
    <xf numFmtId="0" fontId="48" fillId="3" borderId="0" xfId="2" applyFont="1" applyFill="1" applyBorder="1" applyAlignment="1" applyProtection="1">
      <alignment horizontal="left" vertical="top" wrapText="1"/>
      <protection locked="0"/>
    </xf>
    <xf numFmtId="0" fontId="29" fillId="3" borderId="0" xfId="0" applyFont="1" applyFill="1" applyAlignment="1" applyProtection="1">
      <alignment vertical="top"/>
    </xf>
    <xf numFmtId="0" fontId="50" fillId="3" borderId="0" xfId="0" applyFont="1" applyFill="1" applyAlignment="1" applyProtection="1">
      <alignment horizontal="left" vertical="top"/>
    </xf>
    <xf numFmtId="0" fontId="21" fillId="0" borderId="0" xfId="0" applyFont="1" applyFill="1" applyAlignment="1" applyProtection="1">
      <alignment vertical="top"/>
    </xf>
    <xf numFmtId="0" fontId="21" fillId="2" borderId="6" xfId="0" applyFont="1" applyFill="1" applyBorder="1" applyAlignment="1" applyProtection="1">
      <alignment vertical="top"/>
    </xf>
    <xf numFmtId="0" fontId="22" fillId="2" borderId="1" xfId="0" applyFont="1" applyFill="1" applyBorder="1" applyAlignment="1" applyProtection="1">
      <alignment horizontal="center" vertical="top" wrapText="1"/>
    </xf>
    <xf numFmtId="0" fontId="22" fillId="2" borderId="6" xfId="0" applyFont="1" applyFill="1" applyBorder="1" applyAlignment="1" applyProtection="1">
      <alignment horizontal="center" vertical="top" wrapText="1"/>
    </xf>
    <xf numFmtId="0" fontId="22" fillId="0" borderId="6" xfId="0" applyFont="1" applyBorder="1" applyAlignment="1" applyProtection="1">
      <alignment vertical="top"/>
    </xf>
    <xf numFmtId="0" fontId="49" fillId="0" borderId="6" xfId="0" applyFont="1" applyBorder="1" applyAlignment="1" applyProtection="1">
      <alignment vertical="top"/>
    </xf>
    <xf numFmtId="0" fontId="29" fillId="0" borderId="6" xfId="0" applyFont="1" applyBorder="1" applyAlignment="1" applyProtection="1">
      <alignment horizontal="center" vertical="top"/>
    </xf>
    <xf numFmtId="0" fontId="32" fillId="3" borderId="0" xfId="0" applyFont="1" applyFill="1" applyAlignment="1" applyProtection="1">
      <alignment vertical="top"/>
    </xf>
    <xf numFmtId="0" fontId="29" fillId="6" borderId="1" xfId="0" applyFont="1" applyFill="1" applyBorder="1" applyAlignment="1" applyProtection="1">
      <alignment vertical="top"/>
    </xf>
    <xf numFmtId="0" fontId="32" fillId="6" borderId="6" xfId="0" applyFont="1" applyFill="1" applyBorder="1" applyAlignment="1" applyProtection="1">
      <alignment horizontal="center" vertical="top" wrapText="1"/>
    </xf>
    <xf numFmtId="0" fontId="29" fillId="0" borderId="1" xfId="0" applyFont="1" applyBorder="1" applyAlignment="1" applyProtection="1">
      <alignment vertical="top"/>
    </xf>
    <xf numFmtId="0" fontId="29" fillId="0" borderId="2" xfId="0" applyFont="1" applyBorder="1" applyAlignment="1" applyProtection="1">
      <alignment vertical="top"/>
    </xf>
    <xf numFmtId="0" fontId="29" fillId="0" borderId="1" xfId="0" applyFont="1" applyFill="1" applyBorder="1" applyAlignment="1" applyProtection="1">
      <alignment vertical="top"/>
    </xf>
    <xf numFmtId="0" fontId="29" fillId="3" borderId="0" xfId="0" applyFont="1" applyFill="1" applyBorder="1" applyAlignment="1" applyProtection="1">
      <alignment vertical="top"/>
    </xf>
    <xf numFmtId="0" fontId="32" fillId="3" borderId="0" xfId="0" applyFont="1" applyFill="1" applyBorder="1" applyAlignment="1" applyProtection="1">
      <alignment horizontal="right" vertical="top"/>
    </xf>
    <xf numFmtId="0" fontId="29" fillId="0" borderId="0" xfId="0" applyFont="1" applyAlignment="1" applyProtection="1">
      <alignment vertical="top"/>
    </xf>
    <xf numFmtId="49" fontId="29" fillId="0" borderId="6" xfId="1" applyNumberFormat="1" applyFont="1" applyBorder="1" applyAlignment="1" applyProtection="1">
      <alignment horizontal="left" vertical="top"/>
      <protection locked="0"/>
    </xf>
    <xf numFmtId="0" fontId="52" fillId="0" borderId="0" xfId="0" applyFont="1" applyFill="1" applyBorder="1" applyAlignment="1">
      <alignment horizontal="left" vertical="top" wrapText="1"/>
    </xf>
    <xf numFmtId="0" fontId="52" fillId="0" borderId="0" xfId="0" applyFont="1" applyFill="1" applyBorder="1" applyAlignment="1">
      <alignment horizontal="left" vertical="top"/>
    </xf>
    <xf numFmtId="0" fontId="41" fillId="15" borderId="0" xfId="0" applyFont="1" applyFill="1" applyBorder="1" applyAlignment="1">
      <alignment horizontal="left" vertical="top" wrapText="1"/>
    </xf>
    <xf numFmtId="0" fontId="41" fillId="18" borderId="0" xfId="0" applyFont="1" applyFill="1" applyBorder="1" applyAlignment="1">
      <alignment horizontal="left" vertical="top" wrapText="1"/>
    </xf>
    <xf numFmtId="0" fontId="25" fillId="0" borderId="0" xfId="0" applyFont="1" applyFill="1" applyBorder="1" applyAlignment="1">
      <alignment horizontal="left" vertical="top"/>
    </xf>
    <xf numFmtId="0" fontId="54" fillId="0" borderId="0" xfId="0" applyFont="1" applyFill="1" applyBorder="1" applyAlignment="1">
      <alignment horizontal="left" vertical="top"/>
    </xf>
    <xf numFmtId="0" fontId="44" fillId="15" borderId="11" xfId="0" applyFont="1" applyFill="1" applyBorder="1" applyAlignment="1">
      <alignment horizontal="left" vertical="top" wrapText="1"/>
    </xf>
    <xf numFmtId="0" fontId="44" fillId="18" borderId="11" xfId="0" applyFont="1" applyFill="1" applyBorder="1" applyAlignment="1">
      <alignment horizontal="left" vertical="top" wrapText="1"/>
    </xf>
    <xf numFmtId="0" fontId="56" fillId="3" borderId="6" xfId="2" applyFont="1" applyFill="1" applyBorder="1" applyAlignment="1" applyProtection="1">
      <alignment horizontal="left" vertical="top" wrapText="1"/>
      <protection locked="0"/>
    </xf>
    <xf numFmtId="0" fontId="29" fillId="3" borderId="0" xfId="0" applyFont="1" applyFill="1" applyBorder="1" applyAlignment="1" applyProtection="1">
      <alignment horizontal="left" vertical="top"/>
      <protection locked="0"/>
    </xf>
    <xf numFmtId="165" fontId="33" fillId="3" borderId="0" xfId="1" applyNumberFormat="1" applyFont="1" applyFill="1" applyBorder="1" applyAlignment="1" applyProtection="1">
      <alignment horizontal="left" vertical="top"/>
      <protection locked="0"/>
    </xf>
    <xf numFmtId="0" fontId="22" fillId="3" borderId="0" xfId="0" applyFont="1" applyFill="1" applyBorder="1" applyAlignment="1">
      <alignment horizontal="left" vertical="top" wrapText="1"/>
    </xf>
    <xf numFmtId="0" fontId="21" fillId="3" borderId="0" xfId="0" applyFont="1" applyFill="1" applyBorder="1" applyAlignment="1">
      <alignment horizontal="left" vertical="top"/>
    </xf>
    <xf numFmtId="0" fontId="41" fillId="3" borderId="0" xfId="0" applyFont="1" applyFill="1" applyBorder="1" applyAlignment="1">
      <alignment horizontal="left" vertical="top" wrapText="1"/>
    </xf>
    <xf numFmtId="0" fontId="41" fillId="3" borderId="0" xfId="0" applyFont="1" applyFill="1" applyBorder="1" applyAlignment="1">
      <alignment horizontal="left" vertical="center" wrapText="1"/>
    </xf>
    <xf numFmtId="0" fontId="54" fillId="3" borderId="0" xfId="0" applyFont="1" applyFill="1" applyBorder="1" applyAlignment="1">
      <alignment horizontal="right" vertical="center"/>
    </xf>
    <xf numFmtId="0" fontId="53" fillId="3" borderId="0" xfId="0" applyFont="1" applyFill="1" applyBorder="1" applyAlignment="1">
      <alignment horizontal="left" vertical="center"/>
    </xf>
    <xf numFmtId="0" fontId="52" fillId="3" borderId="0" xfId="0" applyFont="1" applyFill="1" applyBorder="1" applyAlignment="1">
      <alignment horizontal="left" vertical="center"/>
    </xf>
    <xf numFmtId="0" fontId="54" fillId="3" borderId="0" xfId="0" applyFont="1" applyFill="1" applyBorder="1" applyAlignment="1">
      <alignment horizontal="left" vertical="center"/>
    </xf>
    <xf numFmtId="0" fontId="0" fillId="3" borderId="0" xfId="0" applyFill="1" applyBorder="1"/>
    <xf numFmtId="0" fontId="28" fillId="6" borderId="8" xfId="0" applyFont="1" applyFill="1" applyBorder="1" applyAlignment="1" applyProtection="1">
      <alignment horizontal="left" textRotation="90" wrapText="1"/>
    </xf>
    <xf numFmtId="0" fontId="22" fillId="6" borderId="8" xfId="0" applyFont="1" applyFill="1" applyBorder="1" applyAlignment="1" applyProtection="1">
      <alignment horizontal="center" vertical="center" wrapText="1"/>
    </xf>
    <xf numFmtId="0" fontId="22" fillId="6" borderId="6" xfId="0" applyFont="1" applyFill="1" applyBorder="1" applyAlignment="1" applyProtection="1">
      <alignment horizontal="center" vertical="center" wrapText="1"/>
    </xf>
    <xf numFmtId="0" fontId="22" fillId="6" borderId="1" xfId="0" applyFont="1" applyFill="1" applyBorder="1" applyAlignment="1" applyProtection="1">
      <alignment horizontal="center" vertical="center" wrapText="1"/>
    </xf>
    <xf numFmtId="0" fontId="22" fillId="6" borderId="1" xfId="0" applyFont="1" applyFill="1" applyBorder="1" applyAlignment="1" applyProtection="1">
      <alignment horizontal="center" vertical="center" wrapText="1"/>
      <protection locked="0"/>
    </xf>
    <xf numFmtId="0" fontId="22" fillId="6" borderId="0" xfId="0" applyFont="1" applyFill="1" applyBorder="1" applyAlignment="1" applyProtection="1">
      <alignment horizontal="left" vertical="center" textRotation="90" wrapText="1"/>
    </xf>
    <xf numFmtId="0" fontId="34" fillId="6" borderId="13" xfId="0" applyFont="1" applyFill="1" applyBorder="1" applyAlignment="1" applyProtection="1">
      <alignment vertical="center" wrapText="1"/>
    </xf>
    <xf numFmtId="0" fontId="34" fillId="6" borderId="13" xfId="0" applyFont="1" applyFill="1" applyBorder="1" applyAlignment="1" applyProtection="1">
      <alignment horizontal="center" vertical="center" wrapText="1"/>
    </xf>
    <xf numFmtId="0" fontId="34" fillId="6" borderId="10" xfId="0" applyFont="1" applyFill="1" applyBorder="1" applyAlignment="1" applyProtection="1">
      <alignment vertical="center" wrapText="1"/>
    </xf>
    <xf numFmtId="0" fontId="40" fillId="6" borderId="6" xfId="0" applyFont="1" applyFill="1" applyBorder="1" applyAlignment="1" applyProtection="1">
      <alignment horizontal="center" vertical="center" wrapText="1"/>
    </xf>
    <xf numFmtId="0" fontId="22" fillId="6" borderId="4" xfId="0" applyFont="1" applyFill="1" applyBorder="1" applyAlignment="1" applyProtection="1">
      <alignment horizontal="center" vertical="center" wrapText="1"/>
    </xf>
    <xf numFmtId="0" fontId="39" fillId="6" borderId="6" xfId="0" applyFont="1" applyFill="1" applyBorder="1" applyAlignment="1" applyProtection="1">
      <alignment horizontal="center" vertical="center" wrapText="1"/>
    </xf>
    <xf numFmtId="0" fontId="47" fillId="6" borderId="1" xfId="0" applyFont="1" applyFill="1" applyBorder="1" applyAlignment="1" applyProtection="1">
      <alignment horizontal="center" vertical="center" wrapText="1"/>
      <protection locked="0"/>
    </xf>
    <xf numFmtId="0" fontId="30" fillId="6" borderId="9" xfId="0" applyFont="1" applyFill="1" applyBorder="1" applyAlignment="1" applyProtection="1">
      <alignment horizontal="center" vertical="center" wrapText="1"/>
    </xf>
    <xf numFmtId="0" fontId="32" fillId="6" borderId="6" xfId="0" applyFont="1" applyFill="1" applyBorder="1" applyAlignment="1" applyProtection="1">
      <alignment vertical="top"/>
      <protection locked="0"/>
    </xf>
    <xf numFmtId="0" fontId="29" fillId="6" borderId="6" xfId="0" applyFont="1" applyFill="1" applyBorder="1" applyAlignment="1" applyProtection="1">
      <alignment vertical="top"/>
      <protection locked="0"/>
    </xf>
    <xf numFmtId="0" fontId="36" fillId="6" borderId="6" xfId="2" applyFont="1" applyFill="1" applyBorder="1" applyAlignment="1" applyProtection="1">
      <alignment vertical="top"/>
      <protection locked="0"/>
    </xf>
    <xf numFmtId="0" fontId="58" fillId="6" borderId="18" xfId="2" applyFont="1" applyFill="1" applyBorder="1" applyAlignment="1" applyProtection="1">
      <alignment vertical="center" wrapText="1"/>
      <protection locked="0"/>
    </xf>
    <xf numFmtId="0" fontId="22" fillId="6" borderId="4" xfId="0" applyFont="1" applyFill="1" applyBorder="1" applyAlignment="1" applyProtection="1">
      <alignment vertical="center" wrapText="1"/>
    </xf>
    <xf numFmtId="0" fontId="22" fillId="6" borderId="10" xfId="0" applyFont="1" applyFill="1" applyBorder="1" applyAlignment="1" applyProtection="1">
      <alignment horizontal="center" vertical="center" wrapText="1"/>
    </xf>
    <xf numFmtId="0" fontId="22" fillId="6" borderId="13" xfId="0" applyFont="1" applyFill="1" applyBorder="1" applyAlignment="1" applyProtection="1">
      <alignment horizontal="center" vertical="center" wrapText="1"/>
    </xf>
    <xf numFmtId="0" fontId="25" fillId="6" borderId="6" xfId="0" applyFont="1" applyFill="1" applyBorder="1" applyAlignment="1" applyProtection="1">
      <alignment horizontal="center" vertical="center" wrapText="1"/>
    </xf>
    <xf numFmtId="0" fontId="25" fillId="6" borderId="13" xfId="0" applyFont="1" applyFill="1" applyBorder="1" applyAlignment="1" applyProtection="1">
      <alignment horizontal="center" vertical="center" wrapText="1"/>
    </xf>
    <xf numFmtId="0" fontId="40" fillId="6" borderId="6" xfId="0" applyFont="1" applyFill="1" applyBorder="1" applyAlignment="1" applyProtection="1">
      <alignment horizontal="center" wrapText="1"/>
    </xf>
    <xf numFmtId="0" fontId="21" fillId="6" borderId="6" xfId="0" applyNumberFormat="1" applyFont="1" applyFill="1" applyBorder="1" applyAlignment="1" applyProtection="1">
      <alignment horizontal="left" vertical="top" wrapText="1"/>
    </xf>
    <xf numFmtId="0" fontId="43" fillId="6" borderId="6" xfId="0" applyNumberFormat="1" applyFont="1" applyFill="1" applyBorder="1" applyAlignment="1" applyProtection="1">
      <alignment horizontal="left" vertical="top" wrapText="1"/>
    </xf>
    <xf numFmtId="0" fontId="22" fillId="6" borderId="6" xfId="0" applyFont="1" applyFill="1" applyBorder="1" applyAlignment="1" applyProtection="1">
      <alignment horizontal="left" vertical="top" wrapText="1"/>
      <protection locked="0"/>
    </xf>
    <xf numFmtId="0" fontId="55" fillId="0" borderId="6" xfId="0" applyFont="1" applyBorder="1" applyAlignment="1" applyProtection="1">
      <alignment horizontal="left" vertical="top"/>
      <protection locked="0"/>
    </xf>
    <xf numFmtId="0" fontId="55" fillId="2" borderId="6" xfId="0" applyFont="1" applyFill="1" applyBorder="1" applyAlignment="1" applyProtection="1">
      <alignment horizontal="left" vertical="top"/>
      <protection locked="0"/>
    </xf>
    <xf numFmtId="0" fontId="57" fillId="0" borderId="6" xfId="0" applyFont="1" applyBorder="1" applyAlignment="1" applyProtection="1">
      <alignment horizontal="left" vertical="top"/>
      <protection locked="0"/>
    </xf>
    <xf numFmtId="164" fontId="22" fillId="17" borderId="4" xfId="0" applyNumberFormat="1" applyFont="1" applyFill="1" applyBorder="1" applyAlignment="1" applyProtection="1">
      <alignment horizontal="left" vertical="top" wrapText="1"/>
      <protection locked="0"/>
    </xf>
    <xf numFmtId="164" fontId="22" fillId="2" borderId="4" xfId="0" applyNumberFormat="1" applyFont="1" applyFill="1" applyBorder="1" applyAlignment="1" applyProtection="1">
      <alignment horizontal="left" vertical="top" wrapText="1"/>
      <protection locked="0"/>
    </xf>
    <xf numFmtId="164" fontId="22" fillId="2" borderId="1" xfId="0" applyNumberFormat="1" applyFont="1" applyFill="1" applyBorder="1" applyAlignment="1" applyProtection="1">
      <alignment horizontal="left" vertical="top" wrapText="1"/>
      <protection locked="0"/>
    </xf>
    <xf numFmtId="3" fontId="33" fillId="17" borderId="4" xfId="1" applyNumberFormat="1" applyFont="1" applyFill="1" applyBorder="1" applyAlignment="1" applyProtection="1">
      <alignment horizontal="left" vertical="top" wrapText="1"/>
      <protection locked="0"/>
    </xf>
    <xf numFmtId="3" fontId="33" fillId="2" borderId="4" xfId="1" applyNumberFormat="1" applyFont="1" applyFill="1" applyBorder="1" applyAlignment="1" applyProtection="1">
      <alignment horizontal="left" vertical="top" wrapText="1"/>
      <protection locked="0"/>
    </xf>
    <xf numFmtId="3" fontId="33" fillId="2" borderId="1" xfId="1" applyNumberFormat="1" applyFont="1" applyFill="1" applyBorder="1" applyAlignment="1" applyProtection="1">
      <alignment horizontal="left" vertical="top" wrapText="1"/>
      <protection locked="0"/>
    </xf>
    <xf numFmtId="3" fontId="22" fillId="5" borderId="12" xfId="1" applyNumberFormat="1" applyFont="1" applyFill="1" applyBorder="1" applyAlignment="1" applyProtection="1">
      <alignment horizontal="left" vertical="top" wrapText="1"/>
      <protection locked="0"/>
    </xf>
    <xf numFmtId="3" fontId="22" fillId="5" borderId="13" xfId="0" applyNumberFormat="1" applyFont="1" applyFill="1" applyBorder="1" applyAlignment="1" applyProtection="1">
      <alignment horizontal="left" vertical="top" wrapText="1"/>
      <protection locked="0"/>
    </xf>
    <xf numFmtId="3" fontId="22" fillId="5" borderId="12" xfId="0" applyNumberFormat="1" applyFont="1" applyFill="1" applyBorder="1" applyAlignment="1" applyProtection="1">
      <alignment horizontal="left" vertical="top" wrapText="1"/>
      <protection locked="0"/>
    </xf>
    <xf numFmtId="3" fontId="22" fillId="5" borderId="3" xfId="1" applyNumberFormat="1" applyFont="1" applyFill="1" applyBorder="1" applyAlignment="1" applyProtection="1">
      <alignment horizontal="left" vertical="top" wrapText="1"/>
      <protection locked="0"/>
    </xf>
    <xf numFmtId="3" fontId="22" fillId="5" borderId="3" xfId="0" applyNumberFormat="1" applyFont="1" applyFill="1" applyBorder="1" applyAlignment="1" applyProtection="1">
      <alignment horizontal="left" vertical="top" wrapText="1"/>
      <protection locked="0"/>
    </xf>
    <xf numFmtId="3" fontId="22" fillId="5" borderId="6" xfId="0" applyNumberFormat="1" applyFont="1" applyFill="1" applyBorder="1" applyAlignment="1" applyProtection="1">
      <alignment horizontal="left" vertical="top" wrapText="1"/>
      <protection locked="0"/>
    </xf>
    <xf numFmtId="164" fontId="22" fillId="9" borderId="12" xfId="0" applyNumberFormat="1" applyFont="1" applyFill="1" applyBorder="1" applyAlignment="1" applyProtection="1">
      <alignment horizontal="left" vertical="top" wrapText="1"/>
      <protection locked="0"/>
    </xf>
    <xf numFmtId="164" fontId="22" fillId="9" borderId="3" xfId="0" applyNumberFormat="1" applyFont="1" applyFill="1" applyBorder="1" applyAlignment="1" applyProtection="1">
      <alignment horizontal="left" vertical="top" wrapText="1"/>
      <protection locked="0"/>
    </xf>
    <xf numFmtId="49" fontId="22" fillId="7" borderId="12" xfId="0" applyNumberFormat="1" applyFont="1" applyFill="1" applyBorder="1" applyAlignment="1" applyProtection="1">
      <alignment horizontal="left" vertical="top" wrapText="1"/>
      <protection locked="0"/>
    </xf>
    <xf numFmtId="49" fontId="22" fillId="7" borderId="3" xfId="0" applyNumberFormat="1" applyFont="1" applyFill="1" applyBorder="1" applyAlignment="1" applyProtection="1">
      <alignment horizontal="left" vertical="top" wrapText="1"/>
      <protection locked="0"/>
    </xf>
    <xf numFmtId="49" fontId="22" fillId="8" borderId="12" xfId="0" applyNumberFormat="1" applyFont="1" applyFill="1" applyBorder="1" applyAlignment="1" applyProtection="1">
      <alignment horizontal="left" vertical="top" wrapText="1"/>
      <protection locked="0"/>
    </xf>
    <xf numFmtId="49" fontId="22" fillId="10" borderId="12" xfId="0" applyNumberFormat="1" applyFont="1" applyFill="1" applyBorder="1" applyAlignment="1" applyProtection="1">
      <alignment horizontal="left" vertical="top" wrapText="1"/>
      <protection locked="0"/>
    </xf>
    <xf numFmtId="49" fontId="22" fillId="8" borderId="3" xfId="0" applyNumberFormat="1" applyFont="1" applyFill="1" applyBorder="1" applyAlignment="1" applyProtection="1">
      <alignment horizontal="left" vertical="top" wrapText="1"/>
      <protection locked="0"/>
    </xf>
    <xf numFmtId="49" fontId="22" fillId="10" borderId="3" xfId="0" applyNumberFormat="1" applyFont="1" applyFill="1" applyBorder="1" applyAlignment="1" applyProtection="1">
      <alignment horizontal="left" vertical="top" wrapText="1"/>
      <protection locked="0"/>
    </xf>
    <xf numFmtId="49" fontId="22" fillId="0" borderId="10" xfId="0" applyNumberFormat="1" applyFont="1" applyBorder="1" applyAlignment="1" applyProtection="1">
      <alignment horizontal="left" vertical="top" wrapText="1"/>
      <protection locked="0"/>
    </xf>
    <xf numFmtId="49" fontId="22" fillId="0" borderId="12" xfId="0" applyNumberFormat="1" applyFont="1" applyBorder="1" applyAlignment="1" applyProtection="1">
      <alignment horizontal="left" vertical="top" wrapText="1"/>
      <protection locked="0"/>
    </xf>
    <xf numFmtId="49" fontId="22" fillId="3" borderId="13" xfId="0" applyNumberFormat="1" applyFont="1" applyFill="1" applyBorder="1" applyAlignment="1" applyProtection="1">
      <alignment horizontal="left" vertical="top" wrapText="1"/>
      <protection locked="0"/>
    </xf>
    <xf numFmtId="49" fontId="25" fillId="3" borderId="13" xfId="0" applyNumberFormat="1" applyFont="1" applyFill="1" applyBorder="1" applyAlignment="1" applyProtection="1">
      <alignment horizontal="left" vertical="top" wrapText="1"/>
      <protection locked="0"/>
    </xf>
    <xf numFmtId="49" fontId="22" fillId="0" borderId="1" xfId="0" applyNumberFormat="1" applyFont="1" applyBorder="1" applyAlignment="1" applyProtection="1">
      <alignment horizontal="left" vertical="top" wrapText="1"/>
      <protection locked="0"/>
    </xf>
    <xf numFmtId="49" fontId="22" fillId="0" borderId="3" xfId="0" applyNumberFormat="1" applyFont="1" applyBorder="1" applyAlignment="1" applyProtection="1">
      <alignment horizontal="left" vertical="top" wrapText="1"/>
      <protection locked="0"/>
    </xf>
    <xf numFmtId="49" fontId="22" fillId="3" borderId="6" xfId="0" applyNumberFormat="1" applyFont="1" applyFill="1" applyBorder="1" applyAlignment="1" applyProtection="1">
      <alignment horizontal="left" vertical="top" wrapText="1"/>
      <protection locked="0"/>
    </xf>
    <xf numFmtId="49" fontId="25" fillId="3" borderId="3" xfId="0" applyNumberFormat="1" applyFont="1" applyFill="1" applyBorder="1" applyAlignment="1" applyProtection="1">
      <alignment horizontal="left" vertical="top" wrapText="1"/>
      <protection locked="0"/>
    </xf>
    <xf numFmtId="49" fontId="22" fillId="3" borderId="3" xfId="0" applyNumberFormat="1" applyFont="1" applyFill="1" applyBorder="1" applyAlignment="1" applyProtection="1">
      <alignment horizontal="left" vertical="top" wrapText="1"/>
      <protection locked="0"/>
    </xf>
    <xf numFmtId="49" fontId="29" fillId="17" borderId="4" xfId="0" applyNumberFormat="1" applyFont="1" applyFill="1" applyBorder="1" applyAlignment="1" applyProtection="1">
      <alignment horizontal="left" vertical="top" wrapText="1"/>
      <protection locked="0"/>
    </xf>
    <xf numFmtId="49" fontId="22" fillId="17" borderId="4" xfId="0" applyNumberFormat="1" applyFont="1" applyFill="1" applyBorder="1" applyAlignment="1" applyProtection="1">
      <alignment horizontal="left" vertical="top" wrapText="1"/>
      <protection locked="0"/>
    </xf>
    <xf numFmtId="49" fontId="29" fillId="2" borderId="4" xfId="0" applyNumberFormat="1" applyFont="1" applyFill="1" applyBorder="1" applyAlignment="1" applyProtection="1">
      <alignment horizontal="left" vertical="top" wrapText="1"/>
      <protection locked="0"/>
    </xf>
    <xf numFmtId="49" fontId="22" fillId="2" borderId="4" xfId="0" applyNumberFormat="1" applyFont="1" applyFill="1" applyBorder="1" applyAlignment="1" applyProtection="1">
      <alignment horizontal="left" vertical="top" wrapText="1"/>
      <protection locked="0"/>
    </xf>
    <xf numFmtId="49" fontId="29" fillId="2" borderId="1" xfId="0" applyNumberFormat="1" applyFont="1" applyFill="1" applyBorder="1" applyAlignment="1" applyProtection="1">
      <alignment horizontal="left" vertical="top" wrapText="1"/>
      <protection locked="0"/>
    </xf>
    <xf numFmtId="49" fontId="22" fillId="2" borderId="1" xfId="0" applyNumberFormat="1" applyFont="1" applyFill="1" applyBorder="1" applyAlignment="1" applyProtection="1">
      <alignment horizontal="left" vertical="top" wrapText="1"/>
      <protection locked="0"/>
    </xf>
    <xf numFmtId="49" fontId="22" fillId="17" borderId="8" xfId="0" applyNumberFormat="1" applyFont="1" applyFill="1" applyBorder="1" applyAlignment="1" applyProtection="1">
      <alignment horizontal="left" vertical="top" wrapText="1"/>
      <protection locked="0"/>
    </xf>
    <xf numFmtId="49" fontId="22" fillId="2" borderId="8" xfId="0" applyNumberFormat="1" applyFont="1" applyFill="1" applyBorder="1" applyAlignment="1" applyProtection="1">
      <alignment horizontal="left" vertical="top" wrapText="1"/>
      <protection locked="0"/>
    </xf>
    <xf numFmtId="49" fontId="22" fillId="2" borderId="6" xfId="0" applyNumberFormat="1" applyFont="1" applyFill="1" applyBorder="1" applyAlignment="1" applyProtection="1">
      <alignment horizontal="left" vertical="top" wrapText="1"/>
      <protection locked="0"/>
    </xf>
    <xf numFmtId="3" fontId="29" fillId="0" borderId="6" xfId="1" applyNumberFormat="1" applyFont="1" applyBorder="1" applyAlignment="1" applyProtection="1">
      <alignment horizontal="left" vertical="top"/>
      <protection locked="0"/>
    </xf>
    <xf numFmtId="3" fontId="22" fillId="0" borderId="6" xfId="1" applyNumberFormat="1" applyFont="1" applyBorder="1" applyAlignment="1" applyProtection="1">
      <alignment horizontal="left" vertical="top" wrapText="1"/>
      <protection locked="0"/>
    </xf>
    <xf numFmtId="164" fontId="29" fillId="0" borderId="6" xfId="1" applyNumberFormat="1" applyFont="1" applyBorder="1" applyAlignment="1" applyProtection="1">
      <alignment horizontal="left" vertical="top"/>
      <protection locked="0"/>
    </xf>
    <xf numFmtId="0" fontId="21" fillId="6" borderId="1" xfId="0" applyFont="1" applyFill="1" applyBorder="1" applyAlignment="1" applyProtection="1">
      <alignment horizontal="center" vertical="center" wrapText="1"/>
    </xf>
    <xf numFmtId="0" fontId="21" fillId="6" borderId="2" xfId="0" applyFont="1" applyFill="1" applyBorder="1" applyAlignment="1" applyProtection="1">
      <alignment horizontal="center" vertical="center" wrapText="1"/>
    </xf>
    <xf numFmtId="0" fontId="21" fillId="6" borderId="3" xfId="0" applyFont="1" applyFill="1" applyBorder="1" applyAlignment="1" applyProtection="1">
      <alignment horizontal="center" vertical="center" wrapText="1"/>
    </xf>
    <xf numFmtId="0" fontId="22" fillId="6" borderId="8" xfId="0" applyFont="1" applyFill="1" applyBorder="1" applyAlignment="1" applyProtection="1">
      <alignment horizontal="center" textRotation="90" wrapText="1"/>
    </xf>
    <xf numFmtId="0" fontId="22" fillId="6" borderId="13" xfId="0" applyFont="1" applyFill="1" applyBorder="1" applyAlignment="1" applyProtection="1">
      <alignment horizontal="center" textRotation="90" wrapText="1"/>
    </xf>
    <xf numFmtId="0" fontId="31" fillId="3" borderId="17" xfId="2" applyFont="1" applyFill="1" applyBorder="1" applyAlignment="1" applyProtection="1">
      <alignment horizontal="center" vertical="top"/>
    </xf>
    <xf numFmtId="0" fontId="31" fillId="3" borderId="0" xfId="2" applyFont="1" applyFill="1" applyBorder="1" applyAlignment="1" applyProtection="1">
      <alignment horizontal="center" vertical="top"/>
    </xf>
    <xf numFmtId="0" fontId="22" fillId="6" borderId="1" xfId="0" applyFont="1" applyFill="1" applyBorder="1" applyAlignment="1" applyProtection="1">
      <alignment horizontal="center" vertical="center" wrapText="1"/>
    </xf>
    <xf numFmtId="0" fontId="22" fillId="6" borderId="2" xfId="0" applyFont="1" applyFill="1" applyBorder="1" applyAlignment="1" applyProtection="1">
      <alignment horizontal="center" vertical="center" wrapText="1"/>
    </xf>
    <xf numFmtId="0" fontId="22" fillId="6" borderId="3" xfId="0" applyFont="1" applyFill="1" applyBorder="1" applyAlignment="1" applyProtection="1">
      <alignment horizontal="center" vertical="center" wrapText="1"/>
    </xf>
    <xf numFmtId="0" fontId="22" fillId="6" borderId="4" xfId="0" applyFont="1" applyFill="1" applyBorder="1" applyAlignment="1" applyProtection="1">
      <alignment horizontal="center" vertical="center" wrapText="1"/>
    </xf>
    <xf numFmtId="0" fontId="22" fillId="6" borderId="5" xfId="0" applyFont="1" applyFill="1" applyBorder="1" applyAlignment="1" applyProtection="1">
      <alignment horizontal="center" vertical="center" wrapText="1"/>
    </xf>
    <xf numFmtId="0" fontId="22" fillId="6" borderId="7" xfId="0" applyFont="1" applyFill="1" applyBorder="1" applyAlignment="1" applyProtection="1">
      <alignment horizontal="center" vertical="center" wrapText="1"/>
    </xf>
    <xf numFmtId="0" fontId="32" fillId="8" borderId="6" xfId="0" applyFont="1" applyFill="1" applyBorder="1" applyAlignment="1" applyProtection="1">
      <alignment horizontal="center"/>
    </xf>
    <xf numFmtId="0" fontId="32" fillId="5" borderId="6" xfId="0" applyFont="1" applyFill="1" applyBorder="1" applyAlignment="1" applyProtection="1">
      <alignment horizontal="center"/>
    </xf>
    <xf numFmtId="0" fontId="32" fillId="7" borderId="6" xfId="0" applyFont="1" applyFill="1" applyBorder="1" applyAlignment="1" applyProtection="1">
      <alignment horizontal="center"/>
    </xf>
    <xf numFmtId="0" fontId="32" fillId="3" borderId="0" xfId="0" applyFont="1" applyFill="1" applyAlignment="1" applyProtection="1">
      <alignment horizontal="left" vertical="top" wrapText="1"/>
    </xf>
    <xf numFmtId="0" fontId="22" fillId="2" borderId="1" xfId="0" applyFont="1" applyFill="1" applyBorder="1" applyAlignment="1" applyProtection="1">
      <alignment horizontal="center" vertical="top" wrapText="1"/>
    </xf>
    <xf numFmtId="0" fontId="22" fillId="2" borderId="3" xfId="0" applyFont="1" applyFill="1" applyBorder="1" applyAlignment="1" applyProtection="1">
      <alignment horizontal="center" vertical="top" wrapText="1"/>
    </xf>
    <xf numFmtId="0" fontId="29" fillId="16" borderId="0" xfId="0" applyFont="1" applyFill="1" applyBorder="1" applyAlignment="1" applyProtection="1">
      <alignment horizontal="left" vertical="top"/>
      <protection locked="0"/>
    </xf>
    <xf numFmtId="0" fontId="29" fillId="16" borderId="0" xfId="0" applyFont="1" applyFill="1" applyAlignment="1" applyProtection="1">
      <alignment horizontal="left" vertical="top"/>
      <protection locked="0"/>
    </xf>
    <xf numFmtId="0" fontId="18" fillId="13" borderId="6" xfId="5" applyFont="1" applyBorder="1" applyAlignment="1">
      <alignment horizontal="center" vertical="center" wrapText="1"/>
    </xf>
    <xf numFmtId="1" fontId="18" fillId="13" borderId="6" xfId="5" applyNumberFormat="1" applyFont="1" applyBorder="1" applyAlignment="1">
      <alignment horizontal="center" vertical="center" wrapText="1"/>
    </xf>
    <xf numFmtId="9" fontId="18" fillId="13" borderId="6" xfId="5" applyNumberFormat="1" applyFont="1" applyBorder="1" applyAlignment="1">
      <alignment horizontal="center" vertical="center" wrapText="1"/>
    </xf>
    <xf numFmtId="0" fontId="13" fillId="0" borderId="6" xfId="0" applyFont="1" applyBorder="1" applyAlignment="1">
      <alignment horizontal="center" vertical="center" textRotation="90" wrapText="1"/>
    </xf>
    <xf numFmtId="0" fontId="13" fillId="0" borderId="15" xfId="0" applyFont="1" applyBorder="1" applyAlignment="1">
      <alignment horizontal="center" vertical="center" textRotation="90" wrapText="1"/>
    </xf>
    <xf numFmtId="0" fontId="0" fillId="0" borderId="6" xfId="0" applyFont="1" applyBorder="1" applyAlignment="1">
      <alignment horizontal="left" vertical="center" wrapText="1"/>
    </xf>
    <xf numFmtId="1" fontId="0" fillId="0" borderId="8" xfId="0" applyNumberFormat="1" applyFont="1" applyBorder="1" applyAlignment="1">
      <alignment horizontal="center" vertical="center" wrapText="1"/>
    </xf>
    <xf numFmtId="0" fontId="0" fillId="0" borderId="8" xfId="0" applyFont="1" applyBorder="1" applyAlignment="1">
      <alignment horizontal="left" vertical="center" wrapText="1"/>
    </xf>
    <xf numFmtId="0" fontId="0" fillId="0" borderId="9" xfId="0" applyFont="1" applyBorder="1" applyAlignment="1">
      <alignment horizontal="left" vertical="center" wrapText="1"/>
    </xf>
    <xf numFmtId="0" fontId="0" fillId="0" borderId="13" xfId="0" applyFont="1"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dxf>
    <dxf>
      <font>
        <strike val="0"/>
        <outline val="0"/>
        <shadow val="0"/>
        <u val="none"/>
        <vertAlign val="baseline"/>
        <color auto="1"/>
        <name val="Arial Narrow"/>
        <scheme val="none"/>
      </font>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fill>
        <patternFill patternType="none">
          <bgColor auto="1"/>
        </patternFill>
      </fill>
    </dxf>
    <dxf>
      <border outline="0">
        <top style="thin">
          <color theme="1"/>
        </top>
      </border>
    </dxf>
    <dxf>
      <font>
        <strike val="0"/>
        <outline val="0"/>
        <shadow val="0"/>
        <u val="none"/>
        <vertAlign val="baseline"/>
        <color auto="1"/>
        <name val="Arial Narrow"/>
        <scheme val="none"/>
      </font>
      <fill>
        <patternFill patternType="none">
          <bgColor auto="1"/>
        </patternFill>
      </fill>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ory of Sche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4.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85725</xdr:colOff>
      <xdr:row>31</xdr:row>
      <xdr:rowOff>38100</xdr:rowOff>
    </xdr:from>
    <xdr:to>
      <xdr:col>1</xdr:col>
      <xdr:colOff>10258425</xdr:colOff>
      <xdr:row>36</xdr:row>
      <xdr:rowOff>108629</xdr:rowOff>
    </xdr:to>
    <xdr:sp macro="" textlink="">
      <xdr:nvSpPr>
        <xdr:cNvPr id="5" name="TextBox 4">
          <a:extLst>
            <a:ext uri="{FF2B5EF4-FFF2-40B4-BE49-F238E27FC236}">
              <a16:creationId xmlns:a16="http://schemas.microsoft.com/office/drawing/2014/main" id="{00000000-0008-0000-0000-000005000000}"/>
            </a:ext>
          </a:extLst>
        </xdr:cNvPr>
        <xdr:cNvSpPr txBox="1">
          <a:spLocks noChangeArrowheads="1"/>
        </xdr:cNvSpPr>
      </xdr:nvSpPr>
      <xdr:spPr bwMode="auto">
        <a:xfrm>
          <a:off x="85725" y="8562975"/>
          <a:ext cx="10344150" cy="10230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Categorisation of schemes &amp; benefits</a:t>
          </a:r>
        </a:p>
      </xdr:txBody>
    </xdr:sp>
    <xdr:clientData/>
  </xdr:twoCellAnchor>
  <xdr:twoCellAnchor>
    <xdr:from>
      <xdr:col>0</xdr:col>
      <xdr:colOff>104902</xdr:colOff>
      <xdr:row>32</xdr:row>
      <xdr:rowOff>95250</xdr:rowOff>
    </xdr:from>
    <xdr:to>
      <xdr:col>1</xdr:col>
      <xdr:colOff>10325101</xdr:colOff>
      <xdr:row>62</xdr:row>
      <xdr:rowOff>82153</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104902" y="8620125"/>
          <a:ext cx="10391649" cy="5701903"/>
          <a:chOff x="70688" y="8886825"/>
          <a:chExt cx="13047975" cy="5701903"/>
        </a:xfrm>
      </xdr:grpSpPr>
      <xdr:grpSp>
        <xdr:nvGrpSpPr>
          <xdr:cNvPr id="109" name="Group 108">
            <a:extLst>
              <a:ext uri="{FF2B5EF4-FFF2-40B4-BE49-F238E27FC236}">
                <a16:creationId xmlns:a16="http://schemas.microsoft.com/office/drawing/2014/main" id="{00000000-0008-0000-0000-00006D000000}"/>
              </a:ext>
            </a:extLst>
          </xdr:cNvPr>
          <xdr:cNvGrpSpPr/>
        </xdr:nvGrpSpPr>
        <xdr:grpSpPr>
          <a:xfrm>
            <a:off x="70688" y="8886825"/>
            <a:ext cx="13024483" cy="5701903"/>
            <a:chOff x="50468" y="668873"/>
            <a:chExt cx="10300999" cy="5701903"/>
          </a:xfrm>
        </xdr:grpSpPr>
        <xdr:cxnSp macro="">
          <xdr:nvCxnSpPr>
            <xdr:cNvPr id="110" name="Connecteur droit 9">
              <a:extLst>
                <a:ext uri="{FF2B5EF4-FFF2-40B4-BE49-F238E27FC236}">
                  <a16:creationId xmlns:a16="http://schemas.microsoft.com/office/drawing/2014/main" id="{00000000-0008-0000-0000-00006E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11" name="ZoneTexte 11">
              <a:extLst>
                <a:ext uri="{FF2B5EF4-FFF2-40B4-BE49-F238E27FC236}">
                  <a16:creationId xmlns:a16="http://schemas.microsoft.com/office/drawing/2014/main" id="{00000000-0008-0000-0000-00006F000000}"/>
                </a:ext>
              </a:extLst>
            </xdr:cNvPr>
            <xdr:cNvSpPr txBox="1"/>
          </xdr:nvSpPr>
          <xdr:spPr>
            <a:xfrm>
              <a:off x="3892351" y="891659"/>
              <a:ext cx="2928070" cy="37369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Benefits features</a:t>
              </a:r>
            </a:p>
          </xdr:txBody>
        </xdr:sp>
        <xdr:sp macro="" textlink="">
          <xdr:nvSpPr>
            <xdr:cNvPr id="112" name="ZoneTexte 12">
              <a:extLst>
                <a:ext uri="{FF2B5EF4-FFF2-40B4-BE49-F238E27FC236}">
                  <a16:creationId xmlns:a16="http://schemas.microsoft.com/office/drawing/2014/main" id="{00000000-0008-0000-0000-000070000000}"/>
                </a:ext>
              </a:extLst>
            </xdr:cNvPr>
            <xdr:cNvSpPr txBox="1"/>
          </xdr:nvSpPr>
          <xdr:spPr>
            <a:xfrm>
              <a:off x="116555" y="870335"/>
              <a:ext cx="3842841" cy="37414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Schemes/ programmes definition</a:t>
              </a:r>
            </a:p>
          </xdr:txBody>
        </xdr:sp>
        <xdr:sp macro="" textlink="">
          <xdr:nvSpPr>
            <xdr:cNvPr id="113" name="ZoneTexte 13">
              <a:extLst>
                <a:ext uri="{FF2B5EF4-FFF2-40B4-BE49-F238E27FC236}">
                  <a16:creationId xmlns:a16="http://schemas.microsoft.com/office/drawing/2014/main" id="{00000000-0008-0000-0000-000071000000}"/>
                </a:ext>
              </a:extLst>
            </xdr:cNvPr>
            <xdr:cNvSpPr txBox="1"/>
          </xdr:nvSpPr>
          <xdr:spPr>
            <a:xfrm>
              <a:off x="50468" y="2947446"/>
              <a:ext cx="856996" cy="653966"/>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800" b="0" i="0" u="none" strike="noStrike" kern="0" cap="none" spc="0" normalizeH="0" baseline="0">
                  <a:ln>
                    <a:noFill/>
                  </a:ln>
                  <a:solidFill>
                    <a:srgbClr val="FFFFFF"/>
                  </a:solidFill>
                  <a:effectLst/>
                  <a:uLnTx/>
                  <a:uFillTx/>
                </a:rPr>
                <a:t>SP system</a:t>
              </a:r>
            </a:p>
          </xdr:txBody>
        </xdr:sp>
        <xdr:grpSp>
          <xdr:nvGrpSpPr>
            <xdr:cNvPr id="114" name="Group 113">
              <a:extLst>
                <a:ext uri="{FF2B5EF4-FFF2-40B4-BE49-F238E27FC236}">
                  <a16:creationId xmlns:a16="http://schemas.microsoft.com/office/drawing/2014/main" id="{00000000-0008-0000-0000-000072000000}"/>
                </a:ext>
              </a:extLst>
            </xdr:cNvPr>
            <xdr:cNvGrpSpPr/>
          </xdr:nvGrpSpPr>
          <xdr:grpSpPr>
            <a:xfrm>
              <a:off x="368829" y="668873"/>
              <a:ext cx="9982638" cy="5701903"/>
              <a:chOff x="394263" y="1051255"/>
              <a:chExt cx="9985664" cy="5635317"/>
            </a:xfrm>
          </xdr:grpSpPr>
          <xdr:grpSp>
            <xdr:nvGrpSpPr>
              <xdr:cNvPr id="115" name="Group 114">
                <a:extLst>
                  <a:ext uri="{FF2B5EF4-FFF2-40B4-BE49-F238E27FC236}">
                    <a16:creationId xmlns:a16="http://schemas.microsoft.com/office/drawing/2014/main" id="{00000000-0008-0000-0000-000073000000}"/>
                  </a:ext>
                </a:extLst>
              </xdr:cNvPr>
              <xdr:cNvGrpSpPr/>
            </xdr:nvGrpSpPr>
            <xdr:grpSpPr>
              <a:xfrm>
                <a:off x="3643306" y="1827659"/>
                <a:ext cx="2214578" cy="4647272"/>
                <a:chOff x="3643306" y="1857364"/>
                <a:chExt cx="2214578" cy="4647272"/>
              </a:xfrm>
            </xdr:grpSpPr>
            <xdr:grpSp>
              <xdr:nvGrpSpPr>
                <xdr:cNvPr id="195" name="Groupe 86">
                  <a:extLst>
                    <a:ext uri="{FF2B5EF4-FFF2-40B4-BE49-F238E27FC236}">
                      <a16:creationId xmlns:a16="http://schemas.microsoft.com/office/drawing/2014/main" id="{00000000-0008-0000-0000-0000C3000000}"/>
                    </a:ext>
                  </a:extLst>
                </xdr:cNvPr>
                <xdr:cNvGrpSpPr/>
              </xdr:nvGrpSpPr>
              <xdr:grpSpPr>
                <a:xfrm>
                  <a:off x="3643306" y="1857364"/>
                  <a:ext cx="2214578" cy="4084108"/>
                  <a:chOff x="4000496" y="1428736"/>
                  <a:chExt cx="2214578" cy="4084108"/>
                </a:xfrm>
              </xdr:grpSpPr>
              <xdr:grpSp>
                <xdr:nvGrpSpPr>
                  <xdr:cNvPr id="198" name="Groupe 85">
                    <a:extLst>
                      <a:ext uri="{FF2B5EF4-FFF2-40B4-BE49-F238E27FC236}">
                        <a16:creationId xmlns:a16="http://schemas.microsoft.com/office/drawing/2014/main" id="{00000000-0008-0000-0000-0000C6000000}"/>
                      </a:ext>
                    </a:extLst>
                  </xdr:cNvPr>
                  <xdr:cNvGrpSpPr/>
                </xdr:nvGrpSpPr>
                <xdr:grpSpPr>
                  <a:xfrm>
                    <a:off x="4000496" y="1428736"/>
                    <a:ext cx="2214578" cy="4084108"/>
                    <a:chOff x="4000496" y="1428736"/>
                    <a:chExt cx="2214578" cy="4084108"/>
                  </a:xfrm>
                </xdr:grpSpPr>
                <xdr:grpSp>
                  <xdr:nvGrpSpPr>
                    <xdr:cNvPr id="200" name="Groupe 77">
                      <a:extLst>
                        <a:ext uri="{FF2B5EF4-FFF2-40B4-BE49-F238E27FC236}">
                          <a16:creationId xmlns:a16="http://schemas.microsoft.com/office/drawing/2014/main" id="{00000000-0008-0000-0000-0000C8000000}"/>
                        </a:ext>
                      </a:extLst>
                    </xdr:cNvPr>
                    <xdr:cNvGrpSpPr/>
                  </xdr:nvGrpSpPr>
                  <xdr:grpSpPr>
                    <a:xfrm>
                      <a:off x="4000496" y="1428736"/>
                      <a:ext cx="2214578" cy="4084108"/>
                      <a:chOff x="4000496" y="1428736"/>
                      <a:chExt cx="2214578" cy="4084108"/>
                    </a:xfrm>
                  </xdr:grpSpPr>
                  <xdr:sp macro="" textlink="">
                    <xdr:nvSpPr>
                      <xdr:cNvPr id="204" name="ZoneTexte 40">
                        <a:extLst>
                          <a:ext uri="{FF2B5EF4-FFF2-40B4-BE49-F238E27FC236}">
                            <a16:creationId xmlns:a16="http://schemas.microsoft.com/office/drawing/2014/main" id="{00000000-0008-0000-0000-0000CC000000}"/>
                          </a:ext>
                        </a:extLst>
                      </xdr:cNvPr>
                      <xdr:cNvSpPr txBox="1"/>
                    </xdr:nvSpPr>
                    <xdr:spPr>
                      <a:xfrm>
                        <a:off x="4357686" y="1428736"/>
                        <a:ext cx="1857388" cy="80021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Older persons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Old 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Survivors*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205" name="ZoneTexte 41">
                        <a:extLst>
                          <a:ext uri="{FF2B5EF4-FFF2-40B4-BE49-F238E27FC236}">
                            <a16:creationId xmlns:a16="http://schemas.microsoft.com/office/drawing/2014/main" id="{00000000-0008-0000-0000-0000CD000000}"/>
                          </a:ext>
                        </a:extLst>
                      </xdr:cNvPr>
                      <xdr:cNvSpPr txBox="1"/>
                    </xdr:nvSpPr>
                    <xdr:spPr>
                      <a:xfrm>
                        <a:off x="4357686" y="2285992"/>
                        <a:ext cx="1857388" cy="584775"/>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Family / child </a:t>
                        </a:r>
                        <a:r>
                          <a:rPr kumimoji="0" lang="en-US" sz="1400" b="0" i="0" u="none" strike="noStrike" kern="0" cap="none" spc="0" normalizeH="0" baseline="0">
                            <a:ln>
                              <a:noFill/>
                            </a:ln>
                            <a:solidFill>
                              <a:srgbClr val="000000">
                                <a:lumMod val="95000"/>
                                <a:lumOff val="5000"/>
                              </a:srgbClr>
                            </a:solidFill>
                            <a:effectLst/>
                            <a:uLnTx/>
                            <a:uFillTx/>
                          </a:rPr>
                          <a:t>benefit</a:t>
                        </a:r>
                      </a:p>
                    </xdr:txBody>
                  </xdr:sp>
                  <xdr:sp macro="" textlink="">
                    <xdr:nvSpPr>
                      <xdr:cNvPr id="206" name="ZoneTexte 42">
                        <a:extLst>
                          <a:ext uri="{FF2B5EF4-FFF2-40B4-BE49-F238E27FC236}">
                            <a16:creationId xmlns:a16="http://schemas.microsoft.com/office/drawing/2014/main" id="{00000000-0008-0000-0000-0000CE000000}"/>
                          </a:ext>
                        </a:extLst>
                      </xdr:cNvPr>
                      <xdr:cNvSpPr txBox="1"/>
                    </xdr:nvSpPr>
                    <xdr:spPr>
                      <a:xfrm>
                        <a:off x="4357686" y="2928934"/>
                        <a:ext cx="1857388" cy="2040874"/>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Active age </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Sickness </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Disability/ Invalidity</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Unemployment </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Employment injury</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Maternity</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Survivors*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ALMP</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Housing *</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Other social assistance*</a:t>
                        </a:r>
                      </a:p>
                    </xdr:txBody>
                  </xdr:sp>
                  <xdr:sp macro="" textlink="">
                    <xdr:nvSpPr>
                      <xdr:cNvPr id="207" name="ZoneTexte 43">
                        <a:extLst>
                          <a:ext uri="{FF2B5EF4-FFF2-40B4-BE49-F238E27FC236}">
                            <a16:creationId xmlns:a16="http://schemas.microsoft.com/office/drawing/2014/main" id="{00000000-0008-0000-0000-0000CF000000}"/>
                          </a:ext>
                        </a:extLst>
                      </xdr:cNvPr>
                      <xdr:cNvSpPr txBox="1"/>
                    </xdr:nvSpPr>
                    <xdr:spPr>
                      <a:xfrm>
                        <a:off x="4357686" y="5143512"/>
                        <a:ext cx="1857388" cy="36933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Health care </a:t>
                        </a:r>
                        <a:r>
                          <a:rPr kumimoji="0" lang="en-US" sz="1400" b="0" i="0" u="none" strike="noStrike" kern="0" cap="none" spc="0" normalizeH="0" baseline="0">
                            <a:ln>
                              <a:noFill/>
                            </a:ln>
                            <a:solidFill>
                              <a:srgbClr val="000000">
                                <a:lumMod val="95000"/>
                                <a:lumOff val="5000"/>
                              </a:srgbClr>
                            </a:solidFill>
                            <a:effectLst/>
                            <a:uLnTx/>
                            <a:uFillTx/>
                          </a:rPr>
                          <a:t>benefit</a:t>
                        </a:r>
                      </a:p>
                    </xdr:txBody>
                  </xdr:sp>
                  <xdr:cxnSp macro="">
                    <xdr:nvCxnSpPr>
                      <xdr:cNvPr id="208" name="Connecteur droit 44">
                        <a:extLst>
                          <a:ext uri="{FF2B5EF4-FFF2-40B4-BE49-F238E27FC236}">
                            <a16:creationId xmlns:a16="http://schemas.microsoft.com/office/drawing/2014/main" id="{00000000-0008-0000-0000-0000D0000000}"/>
                          </a:ext>
                        </a:extLst>
                      </xdr:cNvPr>
                      <xdr:cNvCxnSpPr/>
                    </xdr:nvCxnSpPr>
                    <xdr:spPr>
                      <a:xfrm flipH="1">
                        <a:off x="4214810" y="2072472"/>
                        <a:ext cx="794" cy="3213916"/>
                      </a:xfrm>
                      <a:prstGeom prst="line">
                        <a:avLst/>
                      </a:prstGeom>
                      <a:noFill/>
                      <a:ln w="9525" cap="flat" cmpd="sng" algn="ctr">
                        <a:solidFill>
                          <a:srgbClr val="000000"/>
                        </a:solidFill>
                        <a:prstDash val="solid"/>
                      </a:ln>
                      <a:effectLst/>
                    </xdr:spPr>
                  </xdr:cxnSp>
                  <xdr:cxnSp macro="">
                    <xdr:nvCxnSpPr>
                      <xdr:cNvPr id="209" name="Connecteur droit avec flèche 45">
                        <a:extLst>
                          <a:ext uri="{FF2B5EF4-FFF2-40B4-BE49-F238E27FC236}">
                            <a16:creationId xmlns:a16="http://schemas.microsoft.com/office/drawing/2014/main" id="{00000000-0008-0000-0000-0000D1000000}"/>
                          </a:ext>
                        </a:extLst>
                      </xdr:cNvPr>
                      <xdr:cNvCxnSpPr/>
                    </xdr:nvCxnSpPr>
                    <xdr:spPr>
                      <a:xfrm>
                        <a:off x="4214810" y="2071678"/>
                        <a:ext cx="214314" cy="1588"/>
                      </a:xfrm>
                      <a:prstGeom prst="straightConnector1">
                        <a:avLst/>
                      </a:prstGeom>
                      <a:noFill/>
                      <a:ln w="9525" cap="flat" cmpd="sng" algn="ctr">
                        <a:solidFill>
                          <a:srgbClr val="000000"/>
                        </a:solidFill>
                        <a:prstDash val="solid"/>
                        <a:tailEnd type="arrow"/>
                      </a:ln>
                      <a:effectLst/>
                    </xdr:spPr>
                  </xdr:cxnSp>
                  <xdr:cxnSp macro="">
                    <xdr:nvCxnSpPr>
                      <xdr:cNvPr id="210" name="Connecteur droit avec flèche 46">
                        <a:extLst>
                          <a:ext uri="{FF2B5EF4-FFF2-40B4-BE49-F238E27FC236}">
                            <a16:creationId xmlns:a16="http://schemas.microsoft.com/office/drawing/2014/main" id="{00000000-0008-0000-0000-0000D2000000}"/>
                          </a:ext>
                        </a:extLst>
                      </xdr:cNvPr>
                      <xdr:cNvCxnSpPr/>
                    </xdr:nvCxnSpPr>
                    <xdr:spPr>
                      <a:xfrm>
                        <a:off x="4214810" y="3643314"/>
                        <a:ext cx="214314" cy="1588"/>
                      </a:xfrm>
                      <a:prstGeom prst="straightConnector1">
                        <a:avLst/>
                      </a:prstGeom>
                      <a:noFill/>
                      <a:ln w="9525" cap="flat" cmpd="sng" algn="ctr">
                        <a:solidFill>
                          <a:srgbClr val="000000"/>
                        </a:solidFill>
                        <a:prstDash val="solid"/>
                        <a:tailEnd type="arrow"/>
                      </a:ln>
                      <a:effectLst/>
                    </xdr:spPr>
                  </xdr:cxnSp>
                  <xdr:cxnSp macro="">
                    <xdr:nvCxnSpPr>
                      <xdr:cNvPr id="211" name="Connecteur droit avec flèche 47">
                        <a:extLst>
                          <a:ext uri="{FF2B5EF4-FFF2-40B4-BE49-F238E27FC236}">
                            <a16:creationId xmlns:a16="http://schemas.microsoft.com/office/drawing/2014/main" id="{00000000-0008-0000-0000-0000D3000000}"/>
                          </a:ext>
                        </a:extLst>
                      </xdr:cNvPr>
                      <xdr:cNvCxnSpPr/>
                    </xdr:nvCxnSpPr>
                    <xdr:spPr>
                      <a:xfrm>
                        <a:off x="4214810" y="5286388"/>
                        <a:ext cx="214314" cy="1588"/>
                      </a:xfrm>
                      <a:prstGeom prst="straightConnector1">
                        <a:avLst/>
                      </a:prstGeom>
                      <a:noFill/>
                      <a:ln w="9525" cap="flat" cmpd="sng" algn="ctr">
                        <a:solidFill>
                          <a:srgbClr val="000000"/>
                        </a:solidFill>
                        <a:prstDash val="solid"/>
                        <a:tailEnd type="arrow"/>
                      </a:ln>
                      <a:effectLst/>
                    </xdr:spPr>
                  </xdr:cxnSp>
                  <xdr:cxnSp macro="">
                    <xdr:nvCxnSpPr>
                      <xdr:cNvPr id="212" name="Connecteur droit avec flèche 48">
                        <a:extLst>
                          <a:ext uri="{FF2B5EF4-FFF2-40B4-BE49-F238E27FC236}">
                            <a16:creationId xmlns:a16="http://schemas.microsoft.com/office/drawing/2014/main" id="{00000000-0008-0000-0000-0000D4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201" name="Connecteur droit avec flèche 37">
                      <a:extLst>
                        <a:ext uri="{FF2B5EF4-FFF2-40B4-BE49-F238E27FC236}">
                          <a16:creationId xmlns:a16="http://schemas.microsoft.com/office/drawing/2014/main" id="{00000000-0008-0000-0000-0000C9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202" name="Connecteur droit avec flèche 38">
                      <a:extLst>
                        <a:ext uri="{FF2B5EF4-FFF2-40B4-BE49-F238E27FC236}">
                          <a16:creationId xmlns:a16="http://schemas.microsoft.com/office/drawing/2014/main" id="{00000000-0008-0000-0000-0000CA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203" name="Connecteur droit avec flèche 39">
                      <a:extLst>
                        <a:ext uri="{FF2B5EF4-FFF2-40B4-BE49-F238E27FC236}">
                          <a16:creationId xmlns:a16="http://schemas.microsoft.com/office/drawing/2014/main" id="{00000000-0008-0000-0000-0000CB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199" name="Connecteur droit avec flèche 35">
                    <a:extLst>
                      <a:ext uri="{FF2B5EF4-FFF2-40B4-BE49-F238E27FC236}">
                        <a16:creationId xmlns:a16="http://schemas.microsoft.com/office/drawing/2014/main" id="{00000000-0008-0000-0000-0000C7000000}"/>
                      </a:ext>
                    </a:extLst>
                  </xdr:cNvPr>
                  <xdr:cNvCxnSpPr/>
                </xdr:nvCxnSpPr>
                <xdr:spPr>
                  <a:xfrm>
                    <a:off x="4214810"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196" name="ZoneTexte 32">
                  <a:extLst>
                    <a:ext uri="{FF2B5EF4-FFF2-40B4-BE49-F238E27FC236}">
                      <a16:creationId xmlns:a16="http://schemas.microsoft.com/office/drawing/2014/main" id="{00000000-0008-0000-0000-0000C4000000}"/>
                    </a:ext>
                  </a:extLst>
                </xdr:cNvPr>
                <xdr:cNvSpPr txBox="1"/>
              </xdr:nvSpPr>
              <xdr:spPr>
                <a:xfrm>
                  <a:off x="3914101" y="6166082"/>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Function</a:t>
                  </a:r>
                </a:p>
              </xdr:txBody>
            </xdr:sp>
            <xdr:cxnSp macro="">
              <xdr:nvCxnSpPr>
                <xdr:cNvPr id="197" name="Connecteur droit 33">
                  <a:extLst>
                    <a:ext uri="{FF2B5EF4-FFF2-40B4-BE49-F238E27FC236}">
                      <a16:creationId xmlns:a16="http://schemas.microsoft.com/office/drawing/2014/main" id="{00000000-0008-0000-0000-0000C5000000}"/>
                    </a:ext>
                  </a:extLst>
                </xdr:cNvPr>
                <xdr:cNvCxnSpPr/>
              </xdr:nvCxnSpPr>
              <xdr:spPr>
                <a:xfrm>
                  <a:off x="4000496" y="6143644"/>
                  <a:ext cx="1500198" cy="1588"/>
                </a:xfrm>
                <a:prstGeom prst="line">
                  <a:avLst/>
                </a:prstGeom>
                <a:noFill/>
                <a:ln w="19050" cap="flat" cmpd="sng" algn="ctr">
                  <a:solidFill>
                    <a:srgbClr val="C00000"/>
                  </a:solidFill>
                  <a:prstDash val="solid"/>
                </a:ln>
                <a:effectLst/>
              </xdr:spPr>
            </xdr:cxnSp>
          </xdr:grpSp>
          <xdr:grpSp>
            <xdr:nvGrpSpPr>
              <xdr:cNvPr id="116" name="Group 115">
                <a:extLst>
                  <a:ext uri="{FF2B5EF4-FFF2-40B4-BE49-F238E27FC236}">
                    <a16:creationId xmlns:a16="http://schemas.microsoft.com/office/drawing/2014/main" id="{00000000-0008-0000-0000-000074000000}"/>
                  </a:ext>
                </a:extLst>
              </xdr:cNvPr>
              <xdr:cNvGrpSpPr/>
            </xdr:nvGrpSpPr>
            <xdr:grpSpPr>
              <a:xfrm>
                <a:off x="5786446" y="1541908"/>
                <a:ext cx="948427" cy="5144664"/>
                <a:chOff x="5786446" y="1571613"/>
                <a:chExt cx="948427" cy="5144664"/>
              </a:xfrm>
            </xdr:grpSpPr>
            <xdr:grpSp>
              <xdr:nvGrpSpPr>
                <xdr:cNvPr id="189" name="Groupe 106">
                  <a:extLst>
                    <a:ext uri="{FF2B5EF4-FFF2-40B4-BE49-F238E27FC236}">
                      <a16:creationId xmlns:a16="http://schemas.microsoft.com/office/drawing/2014/main" id="{00000000-0008-0000-0000-0000BD000000}"/>
                    </a:ext>
                  </a:extLst>
                </xdr:cNvPr>
                <xdr:cNvGrpSpPr/>
              </xdr:nvGrpSpPr>
              <xdr:grpSpPr>
                <a:xfrm>
                  <a:off x="5786446" y="1571613"/>
                  <a:ext cx="857256" cy="1523351"/>
                  <a:chOff x="5786446" y="1571613"/>
                  <a:chExt cx="857256" cy="1523351"/>
                </a:xfrm>
              </xdr:grpSpPr>
              <xdr:sp macro="" textlink="">
                <xdr:nvSpPr>
                  <xdr:cNvPr id="192" name="ZoneTexte 53">
                    <a:extLst>
                      <a:ext uri="{FF2B5EF4-FFF2-40B4-BE49-F238E27FC236}">
                        <a16:creationId xmlns:a16="http://schemas.microsoft.com/office/drawing/2014/main" id="{00000000-0008-0000-0000-0000C0000000}"/>
                      </a:ext>
                    </a:extLst>
                  </xdr:cNvPr>
                  <xdr:cNvSpPr txBox="1"/>
                </xdr:nvSpPr>
                <xdr:spPr>
                  <a:xfrm>
                    <a:off x="6000760" y="1571613"/>
                    <a:ext cx="642942" cy="307777"/>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1" i="0" u="none" strike="noStrike" kern="0" cap="none" spc="0" normalizeH="0" baseline="0">
                        <a:ln>
                          <a:noFill/>
                        </a:ln>
                        <a:solidFill>
                          <a:srgbClr val="000000">
                            <a:lumMod val="95000"/>
                            <a:lumOff val="5000"/>
                          </a:srgbClr>
                        </a:solidFill>
                        <a:effectLst/>
                        <a:uLnTx/>
                        <a:uFillTx/>
                      </a:rPr>
                      <a:t>Cash</a:t>
                    </a:r>
                  </a:p>
                </xdr:txBody>
              </xdr:sp>
              <xdr:sp macro="" textlink="">
                <xdr:nvSpPr>
                  <xdr:cNvPr id="193" name="ZoneTexte 39">
                    <a:extLst>
                      <a:ext uri="{FF2B5EF4-FFF2-40B4-BE49-F238E27FC236}">
                        <a16:creationId xmlns:a16="http://schemas.microsoft.com/office/drawing/2014/main" id="{00000000-0008-0000-0000-0000C1000000}"/>
                      </a:ext>
                    </a:extLst>
                  </xdr:cNvPr>
                  <xdr:cNvSpPr txBox="1"/>
                </xdr:nvSpPr>
                <xdr:spPr>
                  <a:xfrm>
                    <a:off x="6000760" y="2571744"/>
                    <a:ext cx="642942" cy="523220"/>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1" i="0" u="none" strike="noStrike" kern="0" cap="none" spc="0" normalizeH="0" baseline="0">
                        <a:ln>
                          <a:noFill/>
                        </a:ln>
                        <a:solidFill>
                          <a:srgbClr val="000000">
                            <a:lumMod val="95000"/>
                            <a:lumOff val="5000"/>
                          </a:srgbClr>
                        </a:solidFill>
                        <a:effectLst/>
                        <a:uLnTx/>
                        <a:uFillTx/>
                      </a:rPr>
                      <a:t>In-kind</a:t>
                    </a:r>
                    <a:endParaRPr kumimoji="0" lang="en-US" sz="1400" b="0" i="0" u="none" strike="noStrike" kern="0" cap="none" spc="0" normalizeH="0" baseline="0">
                      <a:ln>
                        <a:noFill/>
                      </a:ln>
                      <a:solidFill>
                        <a:srgbClr val="000000">
                          <a:lumMod val="95000"/>
                          <a:lumOff val="5000"/>
                        </a:srgbClr>
                      </a:solidFill>
                      <a:effectLst/>
                      <a:uLnTx/>
                      <a:uFillTx/>
                    </a:endParaRPr>
                  </a:p>
                </xdr:txBody>
              </xdr:sp>
              <xdr:sp macro="" textlink="">
                <xdr:nvSpPr>
                  <xdr:cNvPr id="194" name="Accolade ouvrante 55">
                    <a:extLst>
                      <a:ext uri="{FF2B5EF4-FFF2-40B4-BE49-F238E27FC236}">
                        <a16:creationId xmlns:a16="http://schemas.microsoft.com/office/drawing/2014/main" id="{00000000-0008-0000-0000-0000C2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190" name="ZoneTexte 51">
                  <a:extLst>
                    <a:ext uri="{FF2B5EF4-FFF2-40B4-BE49-F238E27FC236}">
                      <a16:creationId xmlns:a16="http://schemas.microsoft.com/office/drawing/2014/main" id="{00000000-0008-0000-0000-0000BE000000}"/>
                    </a:ext>
                  </a:extLst>
                </xdr:cNvPr>
                <xdr:cNvSpPr txBox="1"/>
              </xdr:nvSpPr>
              <xdr:spPr>
                <a:xfrm>
                  <a:off x="5893499" y="6131502"/>
                  <a:ext cx="841374" cy="58477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of benefit</a:t>
                  </a:r>
                </a:p>
              </xdr:txBody>
            </xdr:sp>
            <xdr:cxnSp macro="">
              <xdr:nvCxnSpPr>
                <xdr:cNvPr id="191" name="Connecteur droit 52">
                  <a:extLst>
                    <a:ext uri="{FF2B5EF4-FFF2-40B4-BE49-F238E27FC236}">
                      <a16:creationId xmlns:a16="http://schemas.microsoft.com/office/drawing/2014/main" id="{00000000-0008-0000-0000-0000BF000000}"/>
                    </a:ext>
                  </a:extLst>
                </xdr:cNvPr>
                <xdr:cNvCxnSpPr/>
              </xdr:nvCxnSpPr>
              <xdr:spPr>
                <a:xfrm flipV="1">
                  <a:off x="5982170" y="6145232"/>
                  <a:ext cx="590094" cy="335"/>
                </a:xfrm>
                <a:prstGeom prst="line">
                  <a:avLst/>
                </a:prstGeom>
                <a:noFill/>
                <a:ln w="19050" cap="flat" cmpd="sng" algn="ctr">
                  <a:solidFill>
                    <a:srgbClr val="C00000"/>
                  </a:solidFill>
                  <a:prstDash val="solid"/>
                </a:ln>
                <a:effectLst/>
              </xdr:spPr>
            </xdr:cxnSp>
          </xdr:grpSp>
          <xdr:grpSp>
            <xdr:nvGrpSpPr>
              <xdr:cNvPr id="117" name="Group 116">
                <a:extLst>
                  <a:ext uri="{FF2B5EF4-FFF2-40B4-BE49-F238E27FC236}">
                    <a16:creationId xmlns:a16="http://schemas.microsoft.com/office/drawing/2014/main" id="{00000000-0008-0000-0000-000075000000}"/>
                  </a:ext>
                </a:extLst>
              </xdr:cNvPr>
              <xdr:cNvGrpSpPr/>
            </xdr:nvGrpSpPr>
            <xdr:grpSpPr>
              <a:xfrm>
                <a:off x="6572264" y="1381874"/>
                <a:ext cx="1409746" cy="5044634"/>
                <a:chOff x="6572264" y="1411579"/>
                <a:chExt cx="1409746" cy="5044634"/>
              </a:xfrm>
            </xdr:grpSpPr>
            <xdr:grpSp>
              <xdr:nvGrpSpPr>
                <xdr:cNvPr id="180" name="Groupe 107">
                  <a:extLst>
                    <a:ext uri="{FF2B5EF4-FFF2-40B4-BE49-F238E27FC236}">
                      <a16:creationId xmlns:a16="http://schemas.microsoft.com/office/drawing/2014/main" id="{00000000-0008-0000-0000-0000B4000000}"/>
                    </a:ext>
                  </a:extLst>
                </xdr:cNvPr>
                <xdr:cNvGrpSpPr/>
              </xdr:nvGrpSpPr>
              <xdr:grpSpPr>
                <a:xfrm>
                  <a:off x="6572264" y="1411579"/>
                  <a:ext cx="1295345" cy="2041816"/>
                  <a:chOff x="6572264" y="1411579"/>
                  <a:chExt cx="1295345" cy="2041816"/>
                </a:xfrm>
              </xdr:grpSpPr>
              <xdr:sp macro="" textlink="">
                <xdr:nvSpPr>
                  <xdr:cNvPr id="183" name="ZoneTexte 60">
                    <a:extLst>
                      <a:ext uri="{FF2B5EF4-FFF2-40B4-BE49-F238E27FC236}">
                        <a16:creationId xmlns:a16="http://schemas.microsoft.com/office/drawing/2014/main" id="{00000000-0008-0000-0000-0000B7000000}"/>
                      </a:ext>
                    </a:extLst>
                  </xdr:cNvPr>
                  <xdr:cNvSpPr txBox="1"/>
                </xdr:nvSpPr>
                <xdr:spPr>
                  <a:xfrm>
                    <a:off x="6786578" y="1411579"/>
                    <a:ext cx="1071570" cy="307777"/>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000000">
                            <a:lumMod val="95000"/>
                            <a:lumOff val="5000"/>
                          </a:srgbClr>
                        </a:solidFill>
                        <a:effectLst/>
                        <a:uLnTx/>
                        <a:uFillTx/>
                      </a:rPr>
                      <a:t>periodic</a:t>
                    </a:r>
                  </a:p>
                </xdr:txBody>
              </xdr:sp>
              <xdr:sp macro="" textlink="">
                <xdr:nvSpPr>
                  <xdr:cNvPr id="184" name="ZoneTexte 61">
                    <a:extLst>
                      <a:ext uri="{FF2B5EF4-FFF2-40B4-BE49-F238E27FC236}">
                        <a16:creationId xmlns:a16="http://schemas.microsoft.com/office/drawing/2014/main" id="{00000000-0008-0000-0000-0000B8000000}"/>
                      </a:ext>
                    </a:extLst>
                  </xdr:cNvPr>
                  <xdr:cNvSpPr txBox="1"/>
                </xdr:nvSpPr>
                <xdr:spPr>
                  <a:xfrm>
                    <a:off x="6796039" y="1768767"/>
                    <a:ext cx="1071570" cy="523220"/>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000000">
                            <a:lumMod val="95000"/>
                            <a:lumOff val="5000"/>
                          </a:srgbClr>
                        </a:solidFill>
                        <a:effectLst/>
                        <a:uLnTx/>
                        <a:uFillTx/>
                      </a:rPr>
                      <a:t>Lump-sum/ ad hoc</a:t>
                    </a:r>
                  </a:p>
                </xdr:txBody>
              </xdr:sp>
              <xdr:sp macro="" textlink="">
                <xdr:nvSpPr>
                  <xdr:cNvPr id="185" name="ZoneTexte 62">
                    <a:extLst>
                      <a:ext uri="{FF2B5EF4-FFF2-40B4-BE49-F238E27FC236}">
                        <a16:creationId xmlns:a16="http://schemas.microsoft.com/office/drawing/2014/main" id="{00000000-0008-0000-0000-0000B9000000}"/>
                      </a:ext>
                    </a:extLst>
                  </xdr:cNvPr>
                  <xdr:cNvSpPr txBox="1"/>
                </xdr:nvSpPr>
                <xdr:spPr>
                  <a:xfrm>
                    <a:off x="6786578" y="2571745"/>
                    <a:ext cx="1071570" cy="307777"/>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000000">
                            <a:lumMod val="95000"/>
                            <a:lumOff val="5000"/>
                          </a:srgbClr>
                        </a:solidFill>
                        <a:effectLst/>
                        <a:uLnTx/>
                        <a:uFillTx/>
                      </a:rPr>
                      <a:t>periodic</a:t>
                    </a:r>
                  </a:p>
                </xdr:txBody>
              </xdr:sp>
              <xdr:sp macro="" textlink="">
                <xdr:nvSpPr>
                  <xdr:cNvPr id="186" name="ZoneTexte 63">
                    <a:extLst>
                      <a:ext uri="{FF2B5EF4-FFF2-40B4-BE49-F238E27FC236}">
                        <a16:creationId xmlns:a16="http://schemas.microsoft.com/office/drawing/2014/main" id="{00000000-0008-0000-0000-0000BA000000}"/>
                      </a:ext>
                    </a:extLst>
                  </xdr:cNvPr>
                  <xdr:cNvSpPr txBox="1"/>
                </xdr:nvSpPr>
                <xdr:spPr>
                  <a:xfrm>
                    <a:off x="6786578" y="2928934"/>
                    <a:ext cx="1071570" cy="52446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000000">
                            <a:lumMod val="95000"/>
                            <a:lumOff val="5000"/>
                          </a:srgbClr>
                        </a:solidFill>
                        <a:effectLst/>
                        <a:uLnTx/>
                        <a:uFillTx/>
                      </a:rPr>
                      <a:t>one-time/ ad hoc</a:t>
                    </a:r>
                    <a:endParaRPr kumimoji="0" lang="en-US" sz="1400" b="0" i="0" u="none" strike="noStrike" kern="0" cap="none" spc="0" normalizeH="0" baseline="0">
                      <a:ln>
                        <a:noFill/>
                      </a:ln>
                      <a:solidFill>
                        <a:srgbClr val="FF0000"/>
                      </a:solidFill>
                      <a:effectLst/>
                      <a:uLnTx/>
                      <a:uFillTx/>
                    </a:endParaRPr>
                  </a:p>
                </xdr:txBody>
              </xdr:sp>
              <xdr:sp macro="" textlink="">
                <xdr:nvSpPr>
                  <xdr:cNvPr id="187" name="Accolade ouvrante 64">
                    <a:extLst>
                      <a:ext uri="{FF2B5EF4-FFF2-40B4-BE49-F238E27FC236}">
                        <a16:creationId xmlns:a16="http://schemas.microsoft.com/office/drawing/2014/main" id="{00000000-0008-0000-0000-0000BB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188" name="Accolade ouvrante 65">
                    <a:extLst>
                      <a:ext uri="{FF2B5EF4-FFF2-40B4-BE49-F238E27FC236}">
                        <a16:creationId xmlns:a16="http://schemas.microsoft.com/office/drawing/2014/main" id="{00000000-0008-0000-0000-0000BC000000}"/>
                      </a:ext>
                    </a:extLst>
                  </xdr:cNvPr>
                  <xdr:cNvSpPr/>
                </xdr:nvSpPr>
                <xdr:spPr>
                  <a:xfrm>
                    <a:off x="6582427" y="2624819"/>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181" name="ZoneTexte 58">
                  <a:extLst>
                    <a:ext uri="{FF2B5EF4-FFF2-40B4-BE49-F238E27FC236}">
                      <a16:creationId xmlns:a16="http://schemas.microsoft.com/office/drawing/2014/main" id="{00000000-0008-0000-0000-0000B5000000}"/>
                    </a:ext>
                  </a:extLst>
                </xdr:cNvPr>
                <xdr:cNvSpPr txBox="1"/>
              </xdr:nvSpPr>
              <xdr:spPr>
                <a:xfrm>
                  <a:off x="6767564" y="611765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Periodicity</a:t>
                  </a:r>
                </a:p>
              </xdr:txBody>
            </xdr:sp>
            <xdr:cxnSp macro="">
              <xdr:nvCxnSpPr>
                <xdr:cNvPr id="182" name="Connecteur droit 59">
                  <a:extLst>
                    <a:ext uri="{FF2B5EF4-FFF2-40B4-BE49-F238E27FC236}">
                      <a16:creationId xmlns:a16="http://schemas.microsoft.com/office/drawing/2014/main" id="{00000000-0008-0000-0000-0000B6000000}"/>
                    </a:ext>
                  </a:extLst>
                </xdr:cNvPr>
                <xdr:cNvCxnSpPr/>
              </xdr:nvCxnSpPr>
              <xdr:spPr>
                <a:xfrm>
                  <a:off x="6881899" y="6143644"/>
                  <a:ext cx="1000132" cy="1588"/>
                </a:xfrm>
                <a:prstGeom prst="line">
                  <a:avLst/>
                </a:prstGeom>
                <a:noFill/>
                <a:ln w="19050" cap="flat" cmpd="sng" algn="ctr">
                  <a:solidFill>
                    <a:srgbClr val="C00000"/>
                  </a:solidFill>
                  <a:prstDash val="solid"/>
                </a:ln>
                <a:effectLst/>
              </xdr:spPr>
            </xdr:cxnSp>
          </xdr:grpSp>
          <xdr:grpSp>
            <xdr:nvGrpSpPr>
              <xdr:cNvPr id="118" name="Group 117">
                <a:extLst>
                  <a:ext uri="{FF2B5EF4-FFF2-40B4-BE49-F238E27FC236}">
                    <a16:creationId xmlns:a16="http://schemas.microsoft.com/office/drawing/2014/main" id="{00000000-0008-0000-0000-000076000000}"/>
                  </a:ext>
                </a:extLst>
              </xdr:cNvPr>
              <xdr:cNvGrpSpPr/>
            </xdr:nvGrpSpPr>
            <xdr:grpSpPr>
              <a:xfrm>
                <a:off x="394263" y="2269209"/>
                <a:ext cx="1080775" cy="2913316"/>
                <a:chOff x="394263" y="2298914"/>
                <a:chExt cx="1080775" cy="2913316"/>
              </a:xfrm>
            </xdr:grpSpPr>
            <xdr:sp macro="" textlink="">
              <xdr:nvSpPr>
                <xdr:cNvPr id="176" name="ZoneTexte 17">
                  <a:extLst>
                    <a:ext uri="{FF2B5EF4-FFF2-40B4-BE49-F238E27FC236}">
                      <a16:creationId xmlns:a16="http://schemas.microsoft.com/office/drawing/2014/main" id="{00000000-0008-0000-0000-0000B0000000}"/>
                    </a:ext>
                  </a:extLst>
                </xdr:cNvPr>
                <xdr:cNvSpPr txBox="1"/>
              </xdr:nvSpPr>
              <xdr:spPr>
                <a:xfrm>
                  <a:off x="474906" y="2298914"/>
                  <a:ext cx="1000132"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Statutory</a:t>
                  </a:r>
                </a:p>
              </xdr:txBody>
            </xdr:sp>
            <xdr:sp macro="" textlink="">
              <xdr:nvSpPr>
                <xdr:cNvPr id="177" name="ZoneTexte 18">
                  <a:extLst>
                    <a:ext uri="{FF2B5EF4-FFF2-40B4-BE49-F238E27FC236}">
                      <a16:creationId xmlns:a16="http://schemas.microsoft.com/office/drawing/2014/main" id="{00000000-0008-0000-0000-0000B1000000}"/>
                    </a:ext>
                  </a:extLst>
                </xdr:cNvPr>
                <xdr:cNvSpPr txBox="1"/>
              </xdr:nvSpPr>
              <xdr:spPr>
                <a:xfrm>
                  <a:off x="394263" y="4689010"/>
                  <a:ext cx="1000132" cy="523220"/>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Non statutory</a:t>
                  </a:r>
                </a:p>
              </xdr:txBody>
            </xdr:sp>
            <xdr:cxnSp macro="">
              <xdr:nvCxnSpPr>
                <xdr:cNvPr id="178" name="Connecteur droit avec flèche 19">
                  <a:extLst>
                    <a:ext uri="{FF2B5EF4-FFF2-40B4-BE49-F238E27FC236}">
                      <a16:creationId xmlns:a16="http://schemas.microsoft.com/office/drawing/2014/main" id="{00000000-0008-0000-0000-0000B2000000}"/>
                    </a:ext>
                  </a:extLst>
                </xdr:cNvPr>
                <xdr:cNvCxnSpPr>
                  <a:stCxn id="113" idx="0"/>
                  <a:endCxn id="176" idx="2"/>
                </xdr:cNvCxnSpPr>
              </xdr:nvCxnSpPr>
              <xdr:spPr>
                <a:xfrm flipV="1">
                  <a:off x="504434" y="2606691"/>
                  <a:ext cx="470538" cy="726233"/>
                </a:xfrm>
                <a:prstGeom prst="straightConnector1">
                  <a:avLst/>
                </a:prstGeom>
                <a:solidFill>
                  <a:srgbClr val="000000">
                    <a:lumMod val="65000"/>
                    <a:lumOff val="35000"/>
                  </a:srgbClr>
                </a:solidFill>
                <a:ln>
                  <a:solidFill>
                    <a:srgbClr val="000000"/>
                  </a:solidFill>
                </a:ln>
              </xdr:spPr>
            </xdr:cxnSp>
            <xdr:cxnSp macro="">
              <xdr:nvCxnSpPr>
                <xdr:cNvPr id="179" name="Connecteur droit avec flèche 20">
                  <a:extLst>
                    <a:ext uri="{FF2B5EF4-FFF2-40B4-BE49-F238E27FC236}">
                      <a16:creationId xmlns:a16="http://schemas.microsoft.com/office/drawing/2014/main" id="{00000000-0008-0000-0000-0000B3000000}"/>
                    </a:ext>
                  </a:extLst>
                </xdr:cNvPr>
                <xdr:cNvCxnSpPr>
                  <a:stCxn id="113" idx="2"/>
                  <a:endCxn id="177" idx="0"/>
                </xdr:cNvCxnSpPr>
              </xdr:nvCxnSpPr>
              <xdr:spPr>
                <a:xfrm>
                  <a:off x="504434" y="3979254"/>
                  <a:ext cx="389895" cy="709757"/>
                </a:xfrm>
                <a:prstGeom prst="straightConnector1">
                  <a:avLst/>
                </a:prstGeom>
                <a:solidFill>
                  <a:srgbClr val="000000">
                    <a:lumMod val="65000"/>
                    <a:lumOff val="35000"/>
                  </a:srgbClr>
                </a:solidFill>
                <a:ln>
                  <a:solidFill>
                    <a:srgbClr val="000000"/>
                  </a:solidFill>
                </a:ln>
              </xdr:spPr>
            </xdr:cxnSp>
          </xdr:grpSp>
          <xdr:grpSp>
            <xdr:nvGrpSpPr>
              <xdr:cNvPr id="119" name="Group 118">
                <a:extLst>
                  <a:ext uri="{FF2B5EF4-FFF2-40B4-BE49-F238E27FC236}">
                    <a16:creationId xmlns:a16="http://schemas.microsoft.com/office/drawing/2014/main" id="{00000000-0008-0000-0000-000077000000}"/>
                  </a:ext>
                </a:extLst>
              </xdr:cNvPr>
              <xdr:cNvGrpSpPr/>
            </xdr:nvGrpSpPr>
            <xdr:grpSpPr>
              <a:xfrm>
                <a:off x="2214546" y="1684783"/>
                <a:ext cx="1428760" cy="4023682"/>
                <a:chOff x="2214546" y="1714488"/>
                <a:chExt cx="1428760" cy="4023682"/>
              </a:xfrm>
            </xdr:grpSpPr>
            <xdr:grpSp>
              <xdr:nvGrpSpPr>
                <xdr:cNvPr id="158" name="Groupe 21">
                  <a:extLst>
                    <a:ext uri="{FF2B5EF4-FFF2-40B4-BE49-F238E27FC236}">
                      <a16:creationId xmlns:a16="http://schemas.microsoft.com/office/drawing/2014/main" id="{00000000-0008-0000-0000-00009E000000}"/>
                    </a:ext>
                  </a:extLst>
                </xdr:cNvPr>
                <xdr:cNvGrpSpPr/>
              </xdr:nvGrpSpPr>
              <xdr:grpSpPr>
                <a:xfrm>
                  <a:off x="2214546" y="3786190"/>
                  <a:ext cx="1428760" cy="1951980"/>
                  <a:chOff x="2214546" y="3357562"/>
                  <a:chExt cx="1428760" cy="1951980"/>
                </a:xfrm>
              </xdr:grpSpPr>
              <xdr:sp macro="" textlink="">
                <xdr:nvSpPr>
                  <xdr:cNvPr id="168" name="ZoneTexte 22">
                    <a:extLst>
                      <a:ext uri="{FF2B5EF4-FFF2-40B4-BE49-F238E27FC236}">
                        <a16:creationId xmlns:a16="http://schemas.microsoft.com/office/drawing/2014/main" id="{00000000-0008-0000-0000-0000A8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Contributory</a:t>
                    </a:r>
                  </a:p>
                </xdr:txBody>
              </xdr:sp>
              <xdr:sp macro="" textlink="">
                <xdr:nvSpPr>
                  <xdr:cNvPr id="169" name="ZoneTexte 23">
                    <a:extLst>
                      <a:ext uri="{FF2B5EF4-FFF2-40B4-BE49-F238E27FC236}">
                        <a16:creationId xmlns:a16="http://schemas.microsoft.com/office/drawing/2014/main" id="{00000000-0008-0000-0000-0000A9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contributory</a:t>
                    </a:r>
                  </a:p>
                </xdr:txBody>
              </xdr:sp>
              <xdr:cxnSp macro="">
                <xdr:nvCxnSpPr>
                  <xdr:cNvPr id="170" name="Connecteur droit avec flèche 24">
                    <a:extLst>
                      <a:ext uri="{FF2B5EF4-FFF2-40B4-BE49-F238E27FC236}">
                        <a16:creationId xmlns:a16="http://schemas.microsoft.com/office/drawing/2014/main" id="{00000000-0008-0000-0000-0000AA000000}"/>
                      </a:ext>
                    </a:extLst>
                  </xdr:cNvPr>
                  <xdr:cNvCxnSpPr>
                    <a:stCxn id="151" idx="3"/>
                    <a:endCxn id="172"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171" name="ZoneTexte 25">
                    <a:extLst>
                      <a:ext uri="{FF2B5EF4-FFF2-40B4-BE49-F238E27FC236}">
                        <a16:creationId xmlns:a16="http://schemas.microsoft.com/office/drawing/2014/main" id="{00000000-0008-0000-0000-0000AB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Contributory</a:t>
                    </a:r>
                  </a:p>
                </xdr:txBody>
              </xdr:sp>
              <xdr:sp macro="" textlink="">
                <xdr:nvSpPr>
                  <xdr:cNvPr id="172" name="ZoneTexte 26">
                    <a:extLst>
                      <a:ext uri="{FF2B5EF4-FFF2-40B4-BE49-F238E27FC236}">
                        <a16:creationId xmlns:a16="http://schemas.microsoft.com/office/drawing/2014/main" id="{00000000-0008-0000-0000-0000AC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contributory</a:t>
                    </a:r>
                  </a:p>
                </xdr:txBody>
              </xdr:sp>
              <xdr:cxnSp macro="">
                <xdr:nvCxnSpPr>
                  <xdr:cNvPr id="173" name="Connecteur droit avec flèche 27">
                    <a:extLst>
                      <a:ext uri="{FF2B5EF4-FFF2-40B4-BE49-F238E27FC236}">
                        <a16:creationId xmlns:a16="http://schemas.microsoft.com/office/drawing/2014/main" id="{00000000-0008-0000-0000-0000AD000000}"/>
                      </a:ext>
                    </a:extLst>
                  </xdr:cNvPr>
                  <xdr:cNvCxnSpPr>
                    <a:stCxn id="150" idx="3"/>
                    <a:endCxn id="169"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174" name="Connecteur droit avec flèche 28">
                    <a:extLst>
                      <a:ext uri="{FF2B5EF4-FFF2-40B4-BE49-F238E27FC236}">
                        <a16:creationId xmlns:a16="http://schemas.microsoft.com/office/drawing/2014/main" id="{00000000-0008-0000-0000-0000AE000000}"/>
                      </a:ext>
                    </a:extLst>
                  </xdr:cNvPr>
                  <xdr:cNvCxnSpPr>
                    <a:stCxn id="150" idx="3"/>
                    <a:endCxn id="168"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175" name="Connecteur droit avec flèche 29">
                    <a:extLst>
                      <a:ext uri="{FF2B5EF4-FFF2-40B4-BE49-F238E27FC236}">
                        <a16:creationId xmlns:a16="http://schemas.microsoft.com/office/drawing/2014/main" id="{00000000-0008-0000-0000-0000AF000000}"/>
                      </a:ext>
                    </a:extLst>
                  </xdr:cNvPr>
                  <xdr:cNvCxnSpPr>
                    <a:stCxn id="151" idx="3"/>
                    <a:endCxn id="171"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159" name="Groupe 21">
                  <a:extLst>
                    <a:ext uri="{FF2B5EF4-FFF2-40B4-BE49-F238E27FC236}">
                      <a16:creationId xmlns:a16="http://schemas.microsoft.com/office/drawing/2014/main" id="{00000000-0008-0000-0000-00009F000000}"/>
                    </a:ext>
                  </a:extLst>
                </xdr:cNvPr>
                <xdr:cNvGrpSpPr/>
              </xdr:nvGrpSpPr>
              <xdr:grpSpPr>
                <a:xfrm>
                  <a:off x="2285984" y="1714488"/>
                  <a:ext cx="1357322" cy="1953221"/>
                  <a:chOff x="2285984" y="3571876"/>
                  <a:chExt cx="1357322" cy="1953221"/>
                </a:xfrm>
              </xdr:grpSpPr>
              <xdr:sp macro="" textlink="">
                <xdr:nvSpPr>
                  <xdr:cNvPr id="160" name="ZoneTexte 22">
                    <a:extLst>
                      <a:ext uri="{FF2B5EF4-FFF2-40B4-BE49-F238E27FC236}">
                        <a16:creationId xmlns:a16="http://schemas.microsoft.com/office/drawing/2014/main" id="{00000000-0008-0000-0000-0000A0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Contributory</a:t>
                    </a:r>
                  </a:p>
                </xdr:txBody>
              </xdr:sp>
              <xdr:sp macro="" textlink="">
                <xdr:nvSpPr>
                  <xdr:cNvPr id="161" name="ZoneTexte 23">
                    <a:extLst>
                      <a:ext uri="{FF2B5EF4-FFF2-40B4-BE49-F238E27FC236}">
                        <a16:creationId xmlns:a16="http://schemas.microsoft.com/office/drawing/2014/main" id="{00000000-0008-0000-0000-0000A1000000}"/>
                      </a:ext>
                    </a:extLst>
                  </xdr:cNvPr>
                  <xdr:cNvSpPr txBox="1"/>
                </xdr:nvSpPr>
                <xdr:spPr>
                  <a:xfrm>
                    <a:off x="2428860" y="4000504"/>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contributory</a:t>
                    </a:r>
                  </a:p>
                </xdr:txBody>
              </xdr:sp>
              <xdr:cxnSp macro="">
                <xdr:nvCxnSpPr>
                  <xdr:cNvPr id="162" name="Connecteur droit avec flèche 24">
                    <a:extLst>
                      <a:ext uri="{FF2B5EF4-FFF2-40B4-BE49-F238E27FC236}">
                        <a16:creationId xmlns:a16="http://schemas.microsoft.com/office/drawing/2014/main" id="{00000000-0008-0000-0000-0000A2000000}"/>
                      </a:ext>
                    </a:extLst>
                  </xdr:cNvPr>
                  <xdr:cNvCxnSpPr>
                    <a:stCxn id="155" idx="3"/>
                    <a:endCxn id="164" idx="1"/>
                  </xdr:cNvCxnSpPr>
                </xdr:nvCxnSpPr>
                <xdr:spPr>
                  <a:xfrm>
                    <a:off x="2285984" y="4725897"/>
                    <a:ext cx="142876" cy="536969"/>
                  </a:xfrm>
                  <a:prstGeom prst="straightConnector1">
                    <a:avLst/>
                  </a:prstGeom>
                  <a:noFill/>
                  <a:ln w="9525" cap="flat" cmpd="sng" algn="ctr">
                    <a:solidFill>
                      <a:srgbClr val="000000"/>
                    </a:solidFill>
                    <a:prstDash val="solid"/>
                    <a:tailEnd type="arrow"/>
                  </a:ln>
                  <a:effectLst/>
                </xdr:spPr>
              </xdr:cxnSp>
              <xdr:sp macro="" textlink="">
                <xdr:nvSpPr>
                  <xdr:cNvPr id="163" name="ZoneTexte 25">
                    <a:extLst>
                      <a:ext uri="{FF2B5EF4-FFF2-40B4-BE49-F238E27FC236}">
                        <a16:creationId xmlns:a16="http://schemas.microsoft.com/office/drawing/2014/main" id="{00000000-0008-0000-0000-0000A3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Contributory</a:t>
                    </a:r>
                  </a:p>
                </xdr:txBody>
              </xdr:sp>
              <xdr:sp macro="" textlink="">
                <xdr:nvSpPr>
                  <xdr:cNvPr id="164" name="ZoneTexte 26">
                    <a:extLst>
                      <a:ext uri="{FF2B5EF4-FFF2-40B4-BE49-F238E27FC236}">
                        <a16:creationId xmlns:a16="http://schemas.microsoft.com/office/drawing/2014/main" id="{00000000-0008-0000-0000-0000A4000000}"/>
                      </a:ext>
                    </a:extLst>
                  </xdr:cNvPr>
                  <xdr:cNvSpPr txBox="1"/>
                </xdr:nvSpPr>
                <xdr:spPr>
                  <a:xfrm>
                    <a:off x="2428860" y="5000636"/>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contributory</a:t>
                    </a:r>
                    <a:r>
                      <a:rPr kumimoji="0" lang="en-US" sz="900" b="0" i="0" u="none" strike="noStrike" kern="0" cap="none" spc="0" normalizeH="0" baseline="0">
                        <a:ln>
                          <a:noFill/>
                        </a:ln>
                        <a:solidFill>
                          <a:srgbClr val="FFFFFF"/>
                        </a:solidFill>
                        <a:effectLst/>
                        <a:uLnTx/>
                        <a:uFillTx/>
                      </a:rPr>
                      <a:t>**</a:t>
                    </a:r>
                  </a:p>
                </xdr:txBody>
              </xdr:sp>
              <xdr:cxnSp macro="">
                <xdr:nvCxnSpPr>
                  <xdr:cNvPr id="165" name="Connecteur droit avec flèche 27">
                    <a:extLst>
                      <a:ext uri="{FF2B5EF4-FFF2-40B4-BE49-F238E27FC236}">
                        <a16:creationId xmlns:a16="http://schemas.microsoft.com/office/drawing/2014/main" id="{00000000-0008-0000-0000-0000A5000000}"/>
                      </a:ext>
                    </a:extLst>
                  </xdr:cNvPr>
                  <xdr:cNvCxnSpPr>
                    <a:stCxn id="154" idx="3"/>
                    <a:endCxn id="161" idx="1"/>
                  </xdr:cNvCxnSpPr>
                </xdr:nvCxnSpPr>
                <xdr:spPr>
                  <a:xfrm>
                    <a:off x="2285984" y="4082954"/>
                    <a:ext cx="142876" cy="179160"/>
                  </a:xfrm>
                  <a:prstGeom prst="straightConnector1">
                    <a:avLst/>
                  </a:prstGeom>
                  <a:noFill/>
                  <a:ln w="9525" cap="flat" cmpd="sng" algn="ctr">
                    <a:solidFill>
                      <a:srgbClr val="000000"/>
                    </a:solidFill>
                    <a:prstDash val="solid"/>
                    <a:tailEnd type="arrow"/>
                  </a:ln>
                  <a:effectLst/>
                </xdr:spPr>
              </xdr:cxnSp>
              <xdr:cxnSp macro="">
                <xdr:nvCxnSpPr>
                  <xdr:cNvPr id="166" name="Connecteur droit avec flèche 28">
                    <a:extLst>
                      <a:ext uri="{FF2B5EF4-FFF2-40B4-BE49-F238E27FC236}">
                        <a16:creationId xmlns:a16="http://schemas.microsoft.com/office/drawing/2014/main" id="{00000000-0008-0000-0000-0000A6000000}"/>
                      </a:ext>
                    </a:extLst>
                  </xdr:cNvPr>
                  <xdr:cNvCxnSpPr>
                    <a:stCxn id="154" idx="3"/>
                    <a:endCxn id="160"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167" name="Connecteur droit avec flèche 29">
                    <a:extLst>
                      <a:ext uri="{FF2B5EF4-FFF2-40B4-BE49-F238E27FC236}">
                        <a16:creationId xmlns:a16="http://schemas.microsoft.com/office/drawing/2014/main" id="{00000000-0008-0000-0000-0000A7000000}"/>
                      </a:ext>
                    </a:extLst>
                  </xdr:cNvPr>
                  <xdr:cNvCxnSpPr>
                    <a:stCxn id="155" idx="3"/>
                    <a:endCxn id="163"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120" name="Group 119">
                <a:extLst>
                  <a:ext uri="{FF2B5EF4-FFF2-40B4-BE49-F238E27FC236}">
                    <a16:creationId xmlns:a16="http://schemas.microsoft.com/office/drawing/2014/main" id="{00000000-0008-0000-0000-000078000000}"/>
                  </a:ext>
                </a:extLst>
              </xdr:cNvPr>
              <xdr:cNvGrpSpPr/>
            </xdr:nvGrpSpPr>
            <xdr:grpSpPr>
              <a:xfrm>
                <a:off x="1357290" y="2041973"/>
                <a:ext cx="928694" cy="3379611"/>
                <a:chOff x="1357290" y="2071678"/>
                <a:chExt cx="928694" cy="3379611"/>
              </a:xfrm>
            </xdr:grpSpPr>
            <xdr:grpSp>
              <xdr:nvGrpSpPr>
                <xdr:cNvPr id="145" name="Groupe 95">
                  <a:extLst>
                    <a:ext uri="{FF2B5EF4-FFF2-40B4-BE49-F238E27FC236}">
                      <a16:creationId xmlns:a16="http://schemas.microsoft.com/office/drawing/2014/main" id="{00000000-0008-0000-0000-000091000000}"/>
                    </a:ext>
                  </a:extLst>
                </xdr:cNvPr>
                <xdr:cNvGrpSpPr/>
              </xdr:nvGrpSpPr>
              <xdr:grpSpPr>
                <a:xfrm>
                  <a:off x="1357290" y="2071678"/>
                  <a:ext cx="928694" cy="3379611"/>
                  <a:chOff x="1357290" y="2071678"/>
                  <a:chExt cx="928694" cy="3379611"/>
                </a:xfrm>
              </xdr:grpSpPr>
              <xdr:grpSp>
                <xdr:nvGrpSpPr>
                  <xdr:cNvPr id="148" name="Groupe 16">
                    <a:extLst>
                      <a:ext uri="{FF2B5EF4-FFF2-40B4-BE49-F238E27FC236}">
                        <a16:creationId xmlns:a16="http://schemas.microsoft.com/office/drawing/2014/main" id="{00000000-0008-0000-0000-000094000000}"/>
                      </a:ext>
                    </a:extLst>
                  </xdr:cNvPr>
                  <xdr:cNvGrpSpPr/>
                </xdr:nvGrpSpPr>
                <xdr:grpSpPr>
                  <a:xfrm>
                    <a:off x="1475038" y="2071678"/>
                    <a:ext cx="810946" cy="950720"/>
                    <a:chOff x="1403600" y="1643050"/>
                    <a:chExt cx="810946" cy="950720"/>
                  </a:xfrm>
                </xdr:grpSpPr>
                <xdr:sp macro="" textlink="">
                  <xdr:nvSpPr>
                    <xdr:cNvPr id="154" name="ZoneTexte 17">
                      <a:extLst>
                        <a:ext uri="{FF2B5EF4-FFF2-40B4-BE49-F238E27FC236}">
                          <a16:creationId xmlns:a16="http://schemas.microsoft.com/office/drawing/2014/main" id="{00000000-0008-0000-0000-00009A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155" name="ZoneTexte 18">
                      <a:extLst>
                        <a:ext uri="{FF2B5EF4-FFF2-40B4-BE49-F238E27FC236}">
                          <a16:creationId xmlns:a16="http://schemas.microsoft.com/office/drawing/2014/main" id="{00000000-0008-0000-0000-00009B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Private</a:t>
                      </a:r>
                    </a:p>
                  </xdr:txBody>
                </xdr:sp>
                <xdr:cxnSp macro="">
                  <xdr:nvCxnSpPr>
                    <xdr:cNvPr id="156" name="Connecteur droit avec flèche 19">
                      <a:extLst>
                        <a:ext uri="{FF2B5EF4-FFF2-40B4-BE49-F238E27FC236}">
                          <a16:creationId xmlns:a16="http://schemas.microsoft.com/office/drawing/2014/main" id="{00000000-0008-0000-0000-00009C000000}"/>
                        </a:ext>
                      </a:extLst>
                    </xdr:cNvPr>
                    <xdr:cNvCxnSpPr>
                      <a:stCxn id="176" idx="3"/>
                      <a:endCxn id="154" idx="1"/>
                    </xdr:cNvCxnSpPr>
                  </xdr:nvCxnSpPr>
                  <xdr:spPr>
                    <a:xfrm flipV="1">
                      <a:off x="1403600" y="1796939"/>
                      <a:ext cx="96566" cy="227236"/>
                    </a:xfrm>
                    <a:prstGeom prst="straightConnector1">
                      <a:avLst/>
                    </a:prstGeom>
                    <a:solidFill>
                      <a:srgbClr val="000000">
                        <a:lumMod val="50000"/>
                        <a:lumOff val="50000"/>
                      </a:srgbClr>
                    </a:solidFill>
                    <a:ln>
                      <a:solidFill>
                        <a:srgbClr val="FFFFFF"/>
                      </a:solidFill>
                    </a:ln>
                  </xdr:spPr>
                </xdr:cxnSp>
                <xdr:cxnSp macro="">
                  <xdr:nvCxnSpPr>
                    <xdr:cNvPr id="157" name="Connecteur droit avec flèche 20">
                      <a:extLst>
                        <a:ext uri="{FF2B5EF4-FFF2-40B4-BE49-F238E27FC236}">
                          <a16:creationId xmlns:a16="http://schemas.microsoft.com/office/drawing/2014/main" id="{00000000-0008-0000-0000-00009D000000}"/>
                        </a:ext>
                      </a:extLst>
                    </xdr:cNvPr>
                    <xdr:cNvCxnSpPr>
                      <a:stCxn id="176" idx="3"/>
                      <a:endCxn id="155" idx="1"/>
                    </xdr:cNvCxnSpPr>
                  </xdr:nvCxnSpPr>
                  <xdr:spPr>
                    <a:xfrm>
                      <a:off x="1403600" y="2024175"/>
                      <a:ext cx="96566" cy="415707"/>
                    </a:xfrm>
                    <a:prstGeom prst="straightConnector1">
                      <a:avLst/>
                    </a:prstGeom>
                    <a:solidFill>
                      <a:srgbClr val="000000">
                        <a:lumMod val="50000"/>
                        <a:lumOff val="50000"/>
                      </a:srgbClr>
                    </a:solidFill>
                    <a:ln>
                      <a:solidFill>
                        <a:srgbClr val="FFFFFF"/>
                      </a:solidFill>
                    </a:ln>
                  </xdr:spPr>
                </xdr:cxnSp>
              </xdr:grpSp>
              <xdr:grpSp>
                <xdr:nvGrpSpPr>
                  <xdr:cNvPr id="149" name="Groupe 16">
                    <a:extLst>
                      <a:ext uri="{FF2B5EF4-FFF2-40B4-BE49-F238E27FC236}">
                        <a16:creationId xmlns:a16="http://schemas.microsoft.com/office/drawing/2014/main" id="{00000000-0008-0000-0000-000095000000}"/>
                      </a:ext>
                    </a:extLst>
                  </xdr:cNvPr>
                  <xdr:cNvGrpSpPr/>
                </xdr:nvGrpSpPr>
                <xdr:grpSpPr>
                  <a:xfrm>
                    <a:off x="1357290" y="4500570"/>
                    <a:ext cx="857256" cy="950719"/>
                    <a:chOff x="1357290" y="1643050"/>
                    <a:chExt cx="857256" cy="950719"/>
                  </a:xfrm>
                </xdr:grpSpPr>
                <xdr:sp macro="" textlink="">
                  <xdr:nvSpPr>
                    <xdr:cNvPr id="150" name="ZoneTexte 17">
                      <a:extLst>
                        <a:ext uri="{FF2B5EF4-FFF2-40B4-BE49-F238E27FC236}">
                          <a16:creationId xmlns:a16="http://schemas.microsoft.com/office/drawing/2014/main" id="{00000000-0008-0000-0000-000096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151" name="ZoneTexte 18">
                      <a:extLst>
                        <a:ext uri="{FF2B5EF4-FFF2-40B4-BE49-F238E27FC236}">
                          <a16:creationId xmlns:a16="http://schemas.microsoft.com/office/drawing/2014/main" id="{00000000-0008-0000-0000-000097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Private</a:t>
                      </a:r>
                    </a:p>
                  </xdr:txBody>
                </xdr:sp>
                <xdr:cxnSp macro="">
                  <xdr:nvCxnSpPr>
                    <xdr:cNvPr id="152" name="Connecteur droit avec flèche 19">
                      <a:extLst>
                        <a:ext uri="{FF2B5EF4-FFF2-40B4-BE49-F238E27FC236}">
                          <a16:creationId xmlns:a16="http://schemas.microsoft.com/office/drawing/2014/main" id="{00000000-0008-0000-0000-000098000000}"/>
                        </a:ext>
                      </a:extLst>
                    </xdr:cNvPr>
                    <xdr:cNvCxnSpPr>
                      <a:endCxn id="150"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146" name="Accolade ouvrante 101">
                  <a:extLst>
                    <a:ext uri="{FF2B5EF4-FFF2-40B4-BE49-F238E27FC236}">
                      <a16:creationId xmlns:a16="http://schemas.microsoft.com/office/drawing/2014/main" id="{00000000-0008-0000-0000-000092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147" name="Accolade ouvrante 118">
                  <a:extLst>
                    <a:ext uri="{FF2B5EF4-FFF2-40B4-BE49-F238E27FC236}">
                      <a16:creationId xmlns:a16="http://schemas.microsoft.com/office/drawing/2014/main" id="{00000000-0008-0000-0000-000093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121" name="Group 120">
                <a:extLst>
                  <a:ext uri="{FF2B5EF4-FFF2-40B4-BE49-F238E27FC236}">
                    <a16:creationId xmlns:a16="http://schemas.microsoft.com/office/drawing/2014/main" id="{00000000-0008-0000-0000-000079000000}"/>
                  </a:ext>
                </a:extLst>
              </xdr:cNvPr>
              <xdr:cNvGrpSpPr/>
            </xdr:nvGrpSpPr>
            <xdr:grpSpPr>
              <a:xfrm>
                <a:off x="6715817" y="1051255"/>
                <a:ext cx="3664110" cy="5351861"/>
                <a:chOff x="6715817" y="1080960"/>
                <a:chExt cx="3664110" cy="5351861"/>
              </a:xfrm>
            </xdr:grpSpPr>
            <xdr:grpSp>
              <xdr:nvGrpSpPr>
                <xdr:cNvPr id="122" name="Groupe 66">
                  <a:extLst>
                    <a:ext uri="{FF2B5EF4-FFF2-40B4-BE49-F238E27FC236}">
                      <a16:creationId xmlns:a16="http://schemas.microsoft.com/office/drawing/2014/main" id="{00000000-0008-0000-0000-00007A000000}"/>
                    </a:ext>
                  </a:extLst>
                </xdr:cNvPr>
                <xdr:cNvGrpSpPr/>
              </xdr:nvGrpSpPr>
              <xdr:grpSpPr>
                <a:xfrm>
                  <a:off x="6715817" y="1080960"/>
                  <a:ext cx="3664110" cy="5351861"/>
                  <a:chOff x="6715817" y="1080960"/>
                  <a:chExt cx="3664110" cy="5351861"/>
                </a:xfrm>
              </xdr:grpSpPr>
              <xdr:grpSp>
                <xdr:nvGrpSpPr>
                  <xdr:cNvPr id="126" name="Groupe 124">
                    <a:extLst>
                      <a:ext uri="{FF2B5EF4-FFF2-40B4-BE49-F238E27FC236}">
                        <a16:creationId xmlns:a16="http://schemas.microsoft.com/office/drawing/2014/main" id="{00000000-0008-0000-0000-00007E000000}"/>
                      </a:ext>
                    </a:extLst>
                  </xdr:cNvPr>
                  <xdr:cNvGrpSpPr/>
                </xdr:nvGrpSpPr>
                <xdr:grpSpPr>
                  <a:xfrm>
                    <a:off x="7858148" y="1080960"/>
                    <a:ext cx="2521779" cy="5351861"/>
                    <a:chOff x="7858148" y="1080960"/>
                    <a:chExt cx="2521779" cy="5351861"/>
                  </a:xfrm>
                </xdr:grpSpPr>
                <xdr:grpSp>
                  <xdr:nvGrpSpPr>
                    <xdr:cNvPr id="130" name="Groupe 108">
                      <a:extLst>
                        <a:ext uri="{FF2B5EF4-FFF2-40B4-BE49-F238E27FC236}">
                          <a16:creationId xmlns:a16="http://schemas.microsoft.com/office/drawing/2014/main" id="{00000000-0008-0000-0000-000082000000}"/>
                        </a:ext>
                      </a:extLst>
                    </xdr:cNvPr>
                    <xdr:cNvGrpSpPr/>
                  </xdr:nvGrpSpPr>
                  <xdr:grpSpPr>
                    <a:xfrm>
                      <a:off x="7858148" y="1080960"/>
                      <a:ext cx="2521779" cy="2133726"/>
                      <a:chOff x="7858148" y="1080960"/>
                      <a:chExt cx="2521779" cy="2133726"/>
                    </a:xfrm>
                  </xdr:grpSpPr>
                  <xdr:grpSp>
                    <xdr:nvGrpSpPr>
                      <xdr:cNvPr id="133" name="Groupe 93">
                        <a:extLst>
                          <a:ext uri="{FF2B5EF4-FFF2-40B4-BE49-F238E27FC236}">
                            <a16:creationId xmlns:a16="http://schemas.microsoft.com/office/drawing/2014/main" id="{00000000-0008-0000-0000-000085000000}"/>
                          </a:ext>
                        </a:extLst>
                      </xdr:cNvPr>
                      <xdr:cNvGrpSpPr/>
                    </xdr:nvGrpSpPr>
                    <xdr:grpSpPr>
                      <a:xfrm>
                        <a:off x="7858148" y="1080960"/>
                        <a:ext cx="2521779" cy="738949"/>
                        <a:chOff x="7786710" y="1581026"/>
                        <a:chExt cx="2521779" cy="738949"/>
                      </a:xfrm>
                    </xdr:grpSpPr>
                    <xdr:sp macro="" textlink="">
                      <xdr:nvSpPr>
                        <xdr:cNvPr id="142" name="ZoneTexte 83">
                          <a:extLst>
                            <a:ext uri="{FF2B5EF4-FFF2-40B4-BE49-F238E27FC236}">
                              <a16:creationId xmlns:a16="http://schemas.microsoft.com/office/drawing/2014/main" id="{00000000-0008-0000-0000-00008E000000}"/>
                            </a:ext>
                          </a:extLst>
                        </xdr:cNvPr>
                        <xdr:cNvSpPr txBox="1"/>
                      </xdr:nvSpPr>
                      <xdr:spPr>
                        <a:xfrm>
                          <a:off x="7929587" y="1581026"/>
                          <a:ext cx="237890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Means-tested/targeted</a:t>
                          </a:r>
                        </a:p>
                      </xdr:txBody>
                    </xdr:sp>
                    <xdr:sp macro="" textlink="">
                      <xdr:nvSpPr>
                        <xdr:cNvPr id="143" name="ZoneTexte 84">
                          <a:extLst>
                            <a:ext uri="{FF2B5EF4-FFF2-40B4-BE49-F238E27FC236}">
                              <a16:creationId xmlns:a16="http://schemas.microsoft.com/office/drawing/2014/main" id="{00000000-0008-0000-0000-00008F000000}"/>
                            </a:ext>
                          </a:extLst>
                        </xdr:cNvPr>
                        <xdr:cNvSpPr txBox="1"/>
                      </xdr:nvSpPr>
                      <xdr:spPr>
                        <a:xfrm>
                          <a:off x="7929585" y="1857364"/>
                          <a:ext cx="2378904"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Not </a:t>
                          </a:r>
                          <a:r>
                            <a:rPr kumimoji="0" lang="en-US" sz="1200" b="0" i="0" u="none" strike="noStrike" kern="0" cap="none" spc="0" normalizeH="0" baseline="0">
                              <a:ln>
                                <a:noFill/>
                              </a:ln>
                              <a:solidFill>
                                <a:srgbClr val="000000">
                                  <a:lumMod val="95000"/>
                                  <a:lumOff val="5000"/>
                                </a:srgbClr>
                              </a:solidFill>
                              <a:effectLst/>
                              <a:uLnTx/>
                              <a:uFillTx/>
                            </a:rPr>
                            <a:t>means-tested/universal (categorical)</a:t>
                          </a:r>
                        </a:p>
                      </xdr:txBody>
                    </xdr:sp>
                    <xdr:sp macro="" textlink="">
                      <xdr:nvSpPr>
                        <xdr:cNvPr id="144" name="Accolade ouvrante 85">
                          <a:extLst>
                            <a:ext uri="{FF2B5EF4-FFF2-40B4-BE49-F238E27FC236}">
                              <a16:creationId xmlns:a16="http://schemas.microsoft.com/office/drawing/2014/main" id="{00000000-0008-0000-0000-000090000000}"/>
                            </a:ext>
                          </a:extLst>
                        </xdr:cNvPr>
                        <xdr:cNvSpPr/>
                      </xdr:nvSpPr>
                      <xdr:spPr>
                        <a:xfrm>
                          <a:off x="7786710"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141" name="Accolade ouvrante 82">
                        <a:extLst>
                          <a:ext uri="{FF2B5EF4-FFF2-40B4-BE49-F238E27FC236}">
                            <a16:creationId xmlns:a16="http://schemas.microsoft.com/office/drawing/2014/main" id="{00000000-0008-0000-0000-00008D000000}"/>
                          </a:ext>
                        </a:extLst>
                      </xdr:cNvPr>
                      <xdr:cNvSpPr/>
                    </xdr:nvSpPr>
                    <xdr:spPr>
                      <a:xfrm>
                        <a:off x="7858148"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138" name="Accolade ouvrante 79">
                        <a:extLst>
                          <a:ext uri="{FF2B5EF4-FFF2-40B4-BE49-F238E27FC236}">
                            <a16:creationId xmlns:a16="http://schemas.microsoft.com/office/drawing/2014/main" id="{00000000-0008-0000-0000-00008A000000}"/>
                          </a:ext>
                        </a:extLst>
                      </xdr:cNvPr>
                      <xdr:cNvSpPr/>
                    </xdr:nvSpPr>
                    <xdr:spPr>
                      <a:xfrm>
                        <a:off x="7858148"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131" name="ZoneTexte 72">
                      <a:extLst>
                        <a:ext uri="{FF2B5EF4-FFF2-40B4-BE49-F238E27FC236}">
                          <a16:creationId xmlns:a16="http://schemas.microsoft.com/office/drawing/2014/main" id="{00000000-0008-0000-0000-000083000000}"/>
                        </a:ext>
                      </a:extLst>
                    </xdr:cNvPr>
                    <xdr:cNvSpPr txBox="1"/>
                  </xdr:nvSpPr>
                  <xdr:spPr>
                    <a:xfrm>
                      <a:off x="8062338" y="6109500"/>
                      <a:ext cx="1854851" cy="32332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Means-tested or not</a:t>
                      </a:r>
                    </a:p>
                  </xdr:txBody>
                </xdr:sp>
                <xdr:cxnSp macro="">
                  <xdr:nvCxnSpPr>
                    <xdr:cNvPr id="132" name="Connecteur droit 73">
                      <a:extLst>
                        <a:ext uri="{FF2B5EF4-FFF2-40B4-BE49-F238E27FC236}">
                          <a16:creationId xmlns:a16="http://schemas.microsoft.com/office/drawing/2014/main" id="{00000000-0008-0000-0000-000084000000}"/>
                        </a:ext>
                      </a:extLst>
                    </xdr:cNvPr>
                    <xdr:cNvCxnSpPr/>
                  </xdr:nvCxnSpPr>
                  <xdr:spPr>
                    <a:xfrm>
                      <a:off x="8143985" y="6143644"/>
                      <a:ext cx="1754148" cy="1923"/>
                    </a:xfrm>
                    <a:prstGeom prst="line">
                      <a:avLst/>
                    </a:prstGeom>
                    <a:noFill/>
                    <a:ln w="19050" cap="flat" cmpd="sng" algn="ctr">
                      <a:solidFill>
                        <a:srgbClr val="C00000"/>
                      </a:solidFill>
                      <a:prstDash val="solid"/>
                    </a:ln>
                    <a:effectLst/>
                  </xdr:spPr>
                </xdr:cxnSp>
              </xdr:grpSp>
              <xdr:grpSp>
                <xdr:nvGrpSpPr>
                  <xdr:cNvPr id="127" name="Groupe 129">
                    <a:extLst>
                      <a:ext uri="{FF2B5EF4-FFF2-40B4-BE49-F238E27FC236}">
                        <a16:creationId xmlns:a16="http://schemas.microsoft.com/office/drawing/2014/main" id="{00000000-0008-0000-0000-00007F000000}"/>
                      </a:ext>
                    </a:extLst>
                  </xdr:cNvPr>
                  <xdr:cNvGrpSpPr/>
                </xdr:nvGrpSpPr>
                <xdr:grpSpPr>
                  <a:xfrm>
                    <a:off x="6715817" y="4672221"/>
                    <a:ext cx="2428183" cy="1391001"/>
                    <a:chOff x="6715817" y="4672221"/>
                    <a:chExt cx="2428183" cy="1391001"/>
                  </a:xfrm>
                </xdr:grpSpPr>
                <xdr:sp macro="" textlink="">
                  <xdr:nvSpPr>
                    <xdr:cNvPr id="128" name="ZoneTexte 69">
                      <a:extLst>
                        <a:ext uri="{FF2B5EF4-FFF2-40B4-BE49-F238E27FC236}">
                          <a16:creationId xmlns:a16="http://schemas.microsoft.com/office/drawing/2014/main" id="{00000000-0008-0000-0000-000080000000}"/>
                        </a:ext>
                      </a:extLst>
                    </xdr:cNvPr>
                    <xdr:cNvSpPr txBox="1"/>
                  </xdr:nvSpPr>
                  <xdr:spPr>
                    <a:xfrm>
                      <a:off x="6786546" y="4672221"/>
                      <a:ext cx="2357454" cy="139100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Other criteria</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Mandatory / voluntary</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Complementary / main benefit</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applied/no conditions applied</a:t>
                      </a:r>
                    </a:p>
                    <a:p>
                      <a:pPr marL="0" marR="0" lvl="0" indent="0" defTabSz="914400" eaLnBrk="1" fontAlgn="base" latinLnBrk="0" hangingPunct="1">
                        <a:lnSpc>
                          <a:spcPct val="100000"/>
                        </a:lnSpc>
                        <a:spcBef>
                          <a:spcPct val="0"/>
                        </a:spcBef>
                        <a:spcAft>
                          <a:spcPct val="0"/>
                        </a:spcAft>
                        <a:buClrTx/>
                        <a:buSzTx/>
                        <a:buFontTx/>
                        <a:buNone/>
                        <a:tabLst/>
                        <a:defRPr/>
                      </a:pPr>
                      <a:endParaRPr kumimoji="0" lang="en-GB" sz="1200" b="0" i="0" u="none" strike="noStrike" kern="0" cap="none" spc="0" normalizeH="0" baseline="0">
                        <a:ln>
                          <a:noFill/>
                        </a:ln>
                        <a:solidFill>
                          <a:srgbClr val="000000">
                            <a:lumMod val="95000"/>
                            <a:lumOff val="5000"/>
                          </a:srgbClr>
                        </a:solidFill>
                        <a:effectLst/>
                        <a:uLnTx/>
                        <a:uFillTx/>
                      </a:endParaRPr>
                    </a:p>
                  </xdr:txBody>
                </xdr:sp>
                <xdr:cxnSp macro="">
                  <xdr:nvCxnSpPr>
                    <xdr:cNvPr id="129" name="Connecteur droit 70">
                      <a:extLst>
                        <a:ext uri="{FF2B5EF4-FFF2-40B4-BE49-F238E27FC236}">
                          <a16:creationId xmlns:a16="http://schemas.microsoft.com/office/drawing/2014/main" id="{00000000-0008-0000-0000-000081000000}"/>
                        </a:ext>
                      </a:extLst>
                    </xdr:cNvPr>
                    <xdr:cNvCxnSpPr/>
                  </xdr:nvCxnSpPr>
                  <xdr:spPr>
                    <a:xfrm flipH="1">
                      <a:off x="6715817" y="4780571"/>
                      <a:ext cx="1" cy="1035514"/>
                    </a:xfrm>
                    <a:prstGeom prst="line">
                      <a:avLst/>
                    </a:prstGeom>
                    <a:noFill/>
                    <a:ln w="9525" cap="flat" cmpd="sng" algn="ctr">
                      <a:solidFill>
                        <a:srgbClr val="C00000"/>
                      </a:solidFill>
                      <a:prstDash val="solid"/>
                    </a:ln>
                    <a:effectLst/>
                  </xdr:spPr>
                </xdr:cxnSp>
              </xdr:grpSp>
            </xdr:grpSp>
            <xdr:sp macro="" textlink="">
              <xdr:nvSpPr>
                <xdr:cNvPr id="125" name="Accolade ouvrante 104">
                  <a:extLst>
                    <a:ext uri="{FF2B5EF4-FFF2-40B4-BE49-F238E27FC236}">
                      <a16:creationId xmlns:a16="http://schemas.microsoft.com/office/drawing/2014/main" id="{00000000-0008-0000-0000-00007D000000}"/>
                    </a:ext>
                  </a:extLst>
                </xdr:cNvPr>
                <xdr:cNvSpPr/>
              </xdr:nvSpPr>
              <xdr:spPr>
                <a:xfrm>
                  <a:off x="7858148"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213" name="ZoneTexte 83">
            <a:extLst>
              <a:ext uri="{FF2B5EF4-FFF2-40B4-BE49-F238E27FC236}">
                <a16:creationId xmlns:a16="http://schemas.microsoft.com/office/drawing/2014/main" id="{00000000-0008-0000-0000-0000D5000000}"/>
              </a:ext>
            </a:extLst>
          </xdr:cNvPr>
          <xdr:cNvSpPr txBox="1"/>
        </xdr:nvSpPr>
        <xdr:spPr>
          <a:xfrm>
            <a:off x="10090136" y="9677400"/>
            <a:ext cx="3005916"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Means-tested/targeted</a:t>
            </a:r>
          </a:p>
        </xdr:txBody>
      </xdr:sp>
      <xdr:sp macro="" textlink="">
        <xdr:nvSpPr>
          <xdr:cNvPr id="214" name="ZoneTexte 84">
            <a:extLst>
              <a:ext uri="{FF2B5EF4-FFF2-40B4-BE49-F238E27FC236}">
                <a16:creationId xmlns:a16="http://schemas.microsoft.com/office/drawing/2014/main" id="{00000000-0008-0000-0000-0000D6000000}"/>
              </a:ext>
            </a:extLst>
          </xdr:cNvPr>
          <xdr:cNvSpPr txBox="1"/>
        </xdr:nvSpPr>
        <xdr:spPr>
          <a:xfrm>
            <a:off x="10090136" y="9957003"/>
            <a:ext cx="3005916" cy="468077"/>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Not </a:t>
            </a:r>
            <a:r>
              <a:rPr kumimoji="0" lang="en-US" sz="1200" b="0" i="0" u="none" strike="noStrike" kern="0" cap="none" spc="0" normalizeH="0" baseline="0">
                <a:ln>
                  <a:noFill/>
                </a:ln>
                <a:solidFill>
                  <a:srgbClr val="000000">
                    <a:lumMod val="95000"/>
                    <a:lumOff val="5000"/>
                  </a:srgbClr>
                </a:solidFill>
                <a:effectLst/>
                <a:uLnTx/>
                <a:uFillTx/>
              </a:rPr>
              <a:t>means-tested/universal (categorical)</a:t>
            </a:r>
          </a:p>
        </xdr:txBody>
      </xdr:sp>
      <xdr:sp macro="" textlink="">
        <xdr:nvSpPr>
          <xdr:cNvPr id="215" name="ZoneTexte 83">
            <a:extLst>
              <a:ext uri="{FF2B5EF4-FFF2-40B4-BE49-F238E27FC236}">
                <a16:creationId xmlns:a16="http://schemas.microsoft.com/office/drawing/2014/main" id="{00000000-0008-0000-0000-0000D7000000}"/>
              </a:ext>
            </a:extLst>
          </xdr:cNvPr>
          <xdr:cNvSpPr txBox="1"/>
        </xdr:nvSpPr>
        <xdr:spPr>
          <a:xfrm>
            <a:off x="10086975" y="10448925"/>
            <a:ext cx="3022749"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Means-tested/targeted</a:t>
            </a:r>
          </a:p>
        </xdr:txBody>
      </xdr:sp>
      <xdr:sp macro="" textlink="">
        <xdr:nvSpPr>
          <xdr:cNvPr id="216" name="ZoneTexte 84">
            <a:extLst>
              <a:ext uri="{FF2B5EF4-FFF2-40B4-BE49-F238E27FC236}">
                <a16:creationId xmlns:a16="http://schemas.microsoft.com/office/drawing/2014/main" id="{00000000-0008-0000-0000-0000D8000000}"/>
              </a:ext>
            </a:extLst>
          </xdr:cNvPr>
          <xdr:cNvSpPr txBox="1"/>
        </xdr:nvSpPr>
        <xdr:spPr>
          <a:xfrm>
            <a:off x="10086975" y="10728528"/>
            <a:ext cx="3022749" cy="468077"/>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Not </a:t>
            </a:r>
            <a:r>
              <a:rPr kumimoji="0" lang="en-US" sz="1200" b="0" i="0" u="none" strike="noStrike" kern="0" cap="none" spc="0" normalizeH="0" baseline="0">
                <a:ln>
                  <a:noFill/>
                </a:ln>
                <a:solidFill>
                  <a:srgbClr val="000000">
                    <a:lumMod val="95000"/>
                    <a:lumOff val="5000"/>
                  </a:srgbClr>
                </a:solidFill>
                <a:effectLst/>
                <a:uLnTx/>
                <a:uFillTx/>
              </a:rPr>
              <a:t>means-tested/universal (categorical)</a:t>
            </a:r>
          </a:p>
        </xdr:txBody>
      </xdr:sp>
      <xdr:sp macro="" textlink="">
        <xdr:nvSpPr>
          <xdr:cNvPr id="217" name="ZoneTexte 83">
            <a:extLst>
              <a:ext uri="{FF2B5EF4-FFF2-40B4-BE49-F238E27FC236}">
                <a16:creationId xmlns:a16="http://schemas.microsoft.com/office/drawing/2014/main" id="{00000000-0008-0000-0000-0000D9000000}"/>
              </a:ext>
            </a:extLst>
          </xdr:cNvPr>
          <xdr:cNvSpPr txBox="1"/>
        </xdr:nvSpPr>
        <xdr:spPr>
          <a:xfrm>
            <a:off x="10093341" y="11220450"/>
            <a:ext cx="3025322"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Means-tested/targeted</a:t>
            </a:r>
          </a:p>
        </xdr:txBody>
      </xdr:sp>
      <xdr:sp macro="" textlink="">
        <xdr:nvSpPr>
          <xdr:cNvPr id="218" name="ZoneTexte 84">
            <a:extLst>
              <a:ext uri="{FF2B5EF4-FFF2-40B4-BE49-F238E27FC236}">
                <a16:creationId xmlns:a16="http://schemas.microsoft.com/office/drawing/2014/main" id="{00000000-0008-0000-0000-0000DA000000}"/>
              </a:ext>
            </a:extLst>
          </xdr:cNvPr>
          <xdr:cNvSpPr txBox="1"/>
        </xdr:nvSpPr>
        <xdr:spPr>
          <a:xfrm>
            <a:off x="10093341" y="11500053"/>
            <a:ext cx="3025322" cy="468077"/>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Not </a:t>
            </a:r>
            <a:r>
              <a:rPr kumimoji="0" lang="en-US" sz="1200" b="0" i="0" u="none" strike="noStrike" kern="0" cap="none" spc="0" normalizeH="0" baseline="0">
                <a:ln>
                  <a:noFill/>
                </a:ln>
                <a:solidFill>
                  <a:srgbClr val="000000">
                    <a:lumMod val="95000"/>
                    <a:lumOff val="5000"/>
                  </a:srgbClr>
                </a:solidFill>
                <a:effectLst/>
                <a:uLnTx/>
                <a:uFillTx/>
              </a:rPr>
              <a:t>means-tested/universal (categorical)</a:t>
            </a:r>
          </a:p>
        </xdr:txBody>
      </xdr:sp>
    </xdr:grpSp>
    <xdr:clientData/>
  </xdr:twoCellAnchor>
  <xdr:twoCellAnchor>
    <xdr:from>
      <xdr:col>1</xdr:col>
      <xdr:colOff>1114425</xdr:colOff>
      <xdr:row>0</xdr:row>
      <xdr:rowOff>171450</xdr:rowOff>
    </xdr:from>
    <xdr:to>
      <xdr:col>1</xdr:col>
      <xdr:colOff>3448050</xdr:colOff>
      <xdr:row>4</xdr:row>
      <xdr:rowOff>57150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xdr:from>
      <xdr:col>1</xdr:col>
      <xdr:colOff>4838700</xdr:colOff>
      <xdr:row>1</xdr:row>
      <xdr:rowOff>95250</xdr:rowOff>
    </xdr:from>
    <xdr:to>
      <xdr:col>1</xdr:col>
      <xdr:colOff>6667500</xdr:colOff>
      <xdr:row>3</xdr:row>
      <xdr:rowOff>19050</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5010150" y="285750"/>
          <a:ext cx="1828800"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rgbClr val="0000FF"/>
              </a:solidFill>
            </a:rPr>
            <a:t>GO to Inventory of</a:t>
          </a:r>
          <a:r>
            <a:rPr lang="en-GB" sz="1100" b="1" baseline="0">
              <a:solidFill>
                <a:srgbClr val="0000FF"/>
              </a:solidFill>
            </a:rPr>
            <a:t> Schemes</a:t>
          </a:r>
          <a:endParaRPr lang="en-GB" sz="1100" b="1">
            <a:solidFill>
              <a:srgbClr val="0000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285750</xdr:colOff>
      <xdr:row>27</xdr:row>
      <xdr:rowOff>66675</xdr:rowOff>
    </xdr:from>
    <xdr:to>
      <xdr:col>7</xdr:col>
      <xdr:colOff>114300</xdr:colOff>
      <xdr:row>27</xdr:row>
      <xdr:rowOff>352425</xdr:rowOff>
    </xdr:to>
    <xdr:sp macro="[0]!Copies_Of_Scheme_1" textlink="">
      <xdr:nvSpPr>
        <xdr:cNvPr id="2" name="Rounded Rectangle 1">
          <a:extLst>
            <a:ext uri="{FF2B5EF4-FFF2-40B4-BE49-F238E27FC236}">
              <a16:creationId xmlns:a16="http://schemas.microsoft.com/office/drawing/2014/main" id="{00000000-0008-0000-2B00-000002000000}"/>
            </a:ext>
          </a:extLst>
        </xdr:cNvPr>
        <xdr:cNvSpPr/>
      </xdr:nvSpPr>
      <xdr:spPr>
        <a:xfrm>
          <a:off x="3762375" y="11801475"/>
          <a:ext cx="1819275" cy="285750"/>
        </a:xfrm>
        <a:prstGeom prst="roundRect">
          <a:avLst/>
        </a:prstGeom>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Copy Scheme 1</a:t>
          </a:r>
        </a:p>
      </xdr:txBody>
    </xdr:sp>
    <xdr:clientData/>
  </xdr:twoCellAnchor>
  <xdr:twoCellAnchor>
    <xdr:from>
      <xdr:col>5</xdr:col>
      <xdr:colOff>285750</xdr:colOff>
      <xdr:row>28</xdr:row>
      <xdr:rowOff>57150</xdr:rowOff>
    </xdr:from>
    <xdr:to>
      <xdr:col>7</xdr:col>
      <xdr:colOff>114300</xdr:colOff>
      <xdr:row>28</xdr:row>
      <xdr:rowOff>342900</xdr:rowOff>
    </xdr:to>
    <xdr:sp macro="[0]!Rename_All_w_40Schemes" textlink="">
      <xdr:nvSpPr>
        <xdr:cNvPr id="7" name="Rounded Rectangle 6">
          <a:extLst>
            <a:ext uri="{FF2B5EF4-FFF2-40B4-BE49-F238E27FC236}">
              <a16:creationId xmlns:a16="http://schemas.microsoft.com/office/drawing/2014/main" id="{00000000-0008-0000-2B00-000007000000}"/>
            </a:ext>
          </a:extLst>
        </xdr:cNvPr>
        <xdr:cNvSpPr/>
      </xdr:nvSpPr>
      <xdr:spPr>
        <a:xfrm>
          <a:off x="3762375" y="12172950"/>
          <a:ext cx="1819275" cy="285750"/>
        </a:xfrm>
        <a:prstGeom prst="roundRect">
          <a:avLst/>
        </a:prstGeom>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00">
              <a:latin typeface="Arial Narrow" panose="020B0606020202030204" pitchFamily="34" charset="0"/>
            </a:rPr>
            <a:t>Rename all sheets (40 schemes)</a:t>
          </a:r>
        </a:p>
      </xdr:txBody>
    </xdr:sp>
    <xdr:clientData/>
  </xdr:twoCellAnchor>
  <xdr:twoCellAnchor>
    <xdr:from>
      <xdr:col>5</xdr:col>
      <xdr:colOff>285750</xdr:colOff>
      <xdr:row>29</xdr:row>
      <xdr:rowOff>57150</xdr:rowOff>
    </xdr:from>
    <xdr:to>
      <xdr:col>7</xdr:col>
      <xdr:colOff>114300</xdr:colOff>
      <xdr:row>29</xdr:row>
      <xdr:rowOff>342900</xdr:rowOff>
    </xdr:to>
    <xdr:sp macro="[0]!ProtectAll" textlink="">
      <xdr:nvSpPr>
        <xdr:cNvPr id="8" name="Rounded Rectangle 7">
          <a:extLst>
            <a:ext uri="{FF2B5EF4-FFF2-40B4-BE49-F238E27FC236}">
              <a16:creationId xmlns:a16="http://schemas.microsoft.com/office/drawing/2014/main" id="{00000000-0008-0000-2B00-000008000000}"/>
            </a:ext>
          </a:extLst>
        </xdr:cNvPr>
        <xdr:cNvSpPr/>
      </xdr:nvSpPr>
      <xdr:spPr>
        <a:xfrm>
          <a:off x="3762375" y="12553950"/>
          <a:ext cx="1819275" cy="285750"/>
        </a:xfrm>
        <a:prstGeom prst="roundRect">
          <a:avLst/>
        </a:prstGeom>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Protect all sheets</a:t>
          </a:r>
        </a:p>
      </xdr:txBody>
    </xdr:sp>
    <xdr:clientData/>
  </xdr:twoCellAnchor>
  <xdr:twoCellAnchor>
    <xdr:from>
      <xdr:col>7</xdr:col>
      <xdr:colOff>342900</xdr:colOff>
      <xdr:row>28</xdr:row>
      <xdr:rowOff>57150</xdr:rowOff>
    </xdr:from>
    <xdr:to>
      <xdr:col>9</xdr:col>
      <xdr:colOff>114300</xdr:colOff>
      <xdr:row>28</xdr:row>
      <xdr:rowOff>342900</xdr:rowOff>
    </xdr:to>
    <xdr:sp macro="[0]!Rename_All_100Schemes" textlink="">
      <xdr:nvSpPr>
        <xdr:cNvPr id="10" name="Rounded Rectangle 9">
          <a:extLst>
            <a:ext uri="{FF2B5EF4-FFF2-40B4-BE49-F238E27FC236}">
              <a16:creationId xmlns:a16="http://schemas.microsoft.com/office/drawing/2014/main" id="{00000000-0008-0000-2B00-00000A000000}"/>
            </a:ext>
          </a:extLst>
        </xdr:cNvPr>
        <xdr:cNvSpPr/>
      </xdr:nvSpPr>
      <xdr:spPr>
        <a:xfrm>
          <a:off x="5810250" y="12172950"/>
          <a:ext cx="1819275" cy="285750"/>
        </a:xfrm>
        <a:prstGeom prst="roundRect">
          <a:avLst/>
        </a:prstGeom>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00">
              <a:latin typeface="Arial Narrow" panose="020B0606020202030204" pitchFamily="34" charset="0"/>
            </a:rPr>
            <a:t>Rename all sheets (100 schemes)</a:t>
          </a:r>
        </a:p>
      </xdr:txBody>
    </xdr:sp>
    <xdr:clientData/>
  </xdr:twoCellAnchor>
  <xdr:twoCellAnchor>
    <xdr:from>
      <xdr:col>5</xdr:col>
      <xdr:colOff>342900</xdr:colOff>
      <xdr:row>17</xdr:row>
      <xdr:rowOff>57150</xdr:rowOff>
    </xdr:from>
    <xdr:to>
      <xdr:col>7</xdr:col>
      <xdr:colOff>171450</xdr:colOff>
      <xdr:row>17</xdr:row>
      <xdr:rowOff>342900</xdr:rowOff>
    </xdr:to>
    <xdr:sp macro="[0]!UnprotectAll" textlink="">
      <xdr:nvSpPr>
        <xdr:cNvPr id="11" name="Rounded Rectangle 10">
          <a:extLst>
            <a:ext uri="{FF2B5EF4-FFF2-40B4-BE49-F238E27FC236}">
              <a16:creationId xmlns:a16="http://schemas.microsoft.com/office/drawing/2014/main" id="{00000000-0008-0000-2B00-00000B000000}"/>
            </a:ext>
          </a:extLst>
        </xdr:cNvPr>
        <xdr:cNvSpPr/>
      </xdr:nvSpPr>
      <xdr:spPr>
        <a:xfrm>
          <a:off x="3819525" y="7981950"/>
          <a:ext cx="1819275" cy="285750"/>
        </a:xfrm>
        <a:prstGeom prst="roundRect">
          <a:avLst/>
        </a:prstGeom>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Unprotect all sheets</a:t>
          </a:r>
        </a:p>
      </xdr:txBody>
    </xdr:sp>
    <xdr:clientData/>
  </xdr:twoCellAnchor>
  <xdr:twoCellAnchor>
    <xdr:from>
      <xdr:col>5</xdr:col>
      <xdr:colOff>285750</xdr:colOff>
      <xdr:row>30</xdr:row>
      <xdr:rowOff>57150</xdr:rowOff>
    </xdr:from>
    <xdr:to>
      <xdr:col>7</xdr:col>
      <xdr:colOff>114300</xdr:colOff>
      <xdr:row>30</xdr:row>
      <xdr:rowOff>342900</xdr:rowOff>
    </xdr:to>
    <xdr:sp macro="[0]!HideUnnecessary" textlink="">
      <xdr:nvSpPr>
        <xdr:cNvPr id="9" name="Rounded Rectangle 8">
          <a:extLst>
            <a:ext uri="{FF2B5EF4-FFF2-40B4-BE49-F238E27FC236}">
              <a16:creationId xmlns:a16="http://schemas.microsoft.com/office/drawing/2014/main" id="{00000000-0008-0000-2B00-000009000000}"/>
            </a:ext>
          </a:extLst>
        </xdr:cNvPr>
        <xdr:cNvSpPr/>
      </xdr:nvSpPr>
      <xdr:spPr>
        <a:xfrm>
          <a:off x="3762375" y="12934950"/>
          <a:ext cx="1819275" cy="285750"/>
        </a:xfrm>
        <a:prstGeom prst="roundRect">
          <a:avLst/>
        </a:prstGeom>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Hide Unnecessary sheets</a:t>
          </a:r>
        </a:p>
      </xdr:txBody>
    </xdr:sp>
    <xdr:clientData/>
  </xdr:twoCellAnchor>
  <xdr:twoCellAnchor>
    <xdr:from>
      <xdr:col>5</xdr:col>
      <xdr:colOff>285750</xdr:colOff>
      <xdr:row>31</xdr:row>
      <xdr:rowOff>28575</xdr:rowOff>
    </xdr:from>
    <xdr:to>
      <xdr:col>7</xdr:col>
      <xdr:colOff>114300</xdr:colOff>
      <xdr:row>31</xdr:row>
      <xdr:rowOff>314325</xdr:rowOff>
    </xdr:to>
    <xdr:sp macro="[0]!Unhide_All.Unhide_All" textlink="">
      <xdr:nvSpPr>
        <xdr:cNvPr id="12" name="Rounded Rectangle 11">
          <a:extLst>
            <a:ext uri="{FF2B5EF4-FFF2-40B4-BE49-F238E27FC236}">
              <a16:creationId xmlns:a16="http://schemas.microsoft.com/office/drawing/2014/main" id="{00000000-0008-0000-2B00-00000C000000}"/>
            </a:ext>
          </a:extLst>
        </xdr:cNvPr>
        <xdr:cNvSpPr/>
      </xdr:nvSpPr>
      <xdr:spPr>
        <a:xfrm>
          <a:off x="3762375" y="13287375"/>
          <a:ext cx="1819275" cy="285750"/>
        </a:xfrm>
        <a:prstGeom prst="roundRect">
          <a:avLst/>
        </a:prstGeom>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Unhide all</a:t>
          </a:r>
          <a:r>
            <a:rPr lang="en-GB" sz="1100" baseline="0"/>
            <a:t> sheets</a:t>
          </a: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ocial-protection.org/gimi/ShowTheme.action?id=10"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5" Type="http://schemas.openxmlformats.org/officeDocument/2006/relationships/printerSettings" Target="../printerSettings/printerSettings3.bin"/><Relationship Id="rId4" Type="http://schemas.openxmlformats.org/officeDocument/2006/relationships/hyperlink" Target="mailto:socprodata@ilo.org"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drawing" Target="../drawings/drawing2.xml"/><Relationship Id="rId4" Type="http://schemas.openxmlformats.org/officeDocument/2006/relationships/printerSettings" Target="../printerSettings/printerSettings6.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table" Target="../tables/table1.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drawing" Target="../drawings/drawing3.xml"/><Relationship Id="rId16" Type="http://schemas.openxmlformats.org/officeDocument/2006/relationships/table" Target="../tables/table14.xml"/><Relationship Id="rId1" Type="http://schemas.openxmlformats.org/officeDocument/2006/relationships/printerSettings" Target="../printerSettings/printerSettings52.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C66"/>
  <sheetViews>
    <sheetView workbookViewId="0">
      <selection activeCell="B4" sqref="B4"/>
    </sheetView>
  </sheetViews>
  <sheetFormatPr defaultColWidth="0" defaultRowHeight="15" zeroHeight="1" x14ac:dyDescent="0.25"/>
  <cols>
    <col min="1" max="1" width="2.5703125" style="64" customWidth="1"/>
    <col min="2" max="2" width="155.140625" style="64" customWidth="1"/>
    <col min="3" max="3" width="2" style="64" customWidth="1"/>
    <col min="4" max="16384" width="9.140625" style="64" hidden="1"/>
  </cols>
  <sheetData>
    <row r="1" spans="1:3" x14ac:dyDescent="0.25">
      <c r="A1" s="65"/>
      <c r="B1" s="65"/>
      <c r="C1" s="65"/>
    </row>
    <row r="2" spans="1:3" x14ac:dyDescent="0.25">
      <c r="A2" s="65"/>
      <c r="B2" s="65"/>
      <c r="C2" s="65"/>
    </row>
    <row r="3" spans="1:3" x14ac:dyDescent="0.25">
      <c r="A3" s="65"/>
      <c r="B3" s="65"/>
      <c r="C3" s="65"/>
    </row>
    <row r="4" spans="1:3" x14ac:dyDescent="0.25">
      <c r="A4" s="65"/>
      <c r="B4" s="65"/>
      <c r="C4" s="65"/>
    </row>
    <row r="5" spans="1:3" x14ac:dyDescent="0.25">
      <c r="A5" s="65"/>
      <c r="B5" s="65"/>
      <c r="C5" s="65"/>
    </row>
    <row r="6" spans="1:3" x14ac:dyDescent="0.25">
      <c r="A6" s="65"/>
      <c r="B6" s="65"/>
      <c r="C6" s="65"/>
    </row>
    <row r="7" spans="1:3" x14ac:dyDescent="0.25">
      <c r="A7" s="65"/>
      <c r="B7" s="65"/>
      <c r="C7" s="65"/>
    </row>
    <row r="8" spans="1:3" s="70" customFormat="1" ht="20.25" x14ac:dyDescent="0.25">
      <c r="A8" s="69"/>
      <c r="B8" s="74" t="s">
        <v>97</v>
      </c>
      <c r="C8" s="69"/>
    </row>
    <row r="9" spans="1:3" s="70" customFormat="1" x14ac:dyDescent="0.25">
      <c r="A9" s="69"/>
      <c r="B9" s="71"/>
      <c r="C9" s="69"/>
    </row>
    <row r="10" spans="1:3" s="70" customFormat="1" x14ac:dyDescent="0.25">
      <c r="A10" s="69"/>
      <c r="B10" s="75" t="s">
        <v>355</v>
      </c>
      <c r="C10" s="69"/>
    </row>
    <row r="11" spans="1:3" s="70" customFormat="1" x14ac:dyDescent="0.25">
      <c r="A11" s="69"/>
      <c r="B11" s="72"/>
      <c r="C11" s="69"/>
    </row>
    <row r="12" spans="1:3" s="70" customFormat="1" ht="22.5" x14ac:dyDescent="0.25">
      <c r="A12" s="69"/>
      <c r="B12" s="72" t="s">
        <v>290</v>
      </c>
      <c r="C12" s="69"/>
    </row>
    <row r="13" spans="1:3" s="70" customFormat="1" x14ac:dyDescent="0.25">
      <c r="A13" s="69"/>
      <c r="B13" s="72"/>
      <c r="C13" s="69"/>
    </row>
    <row r="14" spans="1:3" s="70" customFormat="1" ht="33.75" x14ac:dyDescent="0.25">
      <c r="A14" s="69"/>
      <c r="B14" s="72" t="s">
        <v>289</v>
      </c>
      <c r="C14" s="69"/>
    </row>
    <row r="15" spans="1:3" s="70" customFormat="1" x14ac:dyDescent="0.25">
      <c r="A15" s="69"/>
      <c r="B15" s="72"/>
      <c r="C15" s="69"/>
    </row>
    <row r="16" spans="1:3" s="70" customFormat="1" x14ac:dyDescent="0.25">
      <c r="A16" s="69"/>
      <c r="B16" s="75" t="s">
        <v>520</v>
      </c>
      <c r="C16" s="69"/>
    </row>
    <row r="17" spans="1:3" s="70" customFormat="1" x14ac:dyDescent="0.25">
      <c r="A17" s="69"/>
      <c r="B17" s="69"/>
      <c r="C17" s="69"/>
    </row>
    <row r="18" spans="1:3" s="70" customFormat="1" ht="20.25" x14ac:dyDescent="0.25">
      <c r="A18" s="69"/>
      <c r="B18" s="74" t="s">
        <v>98</v>
      </c>
      <c r="C18" s="69"/>
    </row>
    <row r="19" spans="1:3" s="70" customFormat="1" x14ac:dyDescent="0.25">
      <c r="A19" s="69"/>
      <c r="B19" s="69"/>
      <c r="C19" s="69"/>
    </row>
    <row r="20" spans="1:3" s="70" customFormat="1" ht="63.75" x14ac:dyDescent="0.25">
      <c r="A20" s="69"/>
      <c r="B20" s="67" t="s">
        <v>103</v>
      </c>
      <c r="C20" s="69"/>
    </row>
    <row r="21" spans="1:3" s="70" customFormat="1" x14ac:dyDescent="0.25">
      <c r="A21" s="69"/>
      <c r="B21" s="68"/>
      <c r="C21" s="69"/>
    </row>
    <row r="22" spans="1:3" s="70" customFormat="1" x14ac:dyDescent="0.25">
      <c r="A22" s="69"/>
      <c r="B22" s="73" t="s">
        <v>109</v>
      </c>
      <c r="C22" s="69"/>
    </row>
    <row r="23" spans="1:3" s="70" customFormat="1" x14ac:dyDescent="0.25">
      <c r="A23" s="69"/>
      <c r="B23" s="68"/>
      <c r="C23" s="69"/>
    </row>
    <row r="24" spans="1:3" s="70" customFormat="1" ht="25.5" x14ac:dyDescent="0.25">
      <c r="A24" s="69"/>
      <c r="B24" s="67" t="s">
        <v>110</v>
      </c>
      <c r="C24" s="69"/>
    </row>
    <row r="25" spans="1:3" s="70" customFormat="1" x14ac:dyDescent="0.25">
      <c r="A25" s="69"/>
      <c r="B25" s="68"/>
      <c r="C25" s="69"/>
    </row>
    <row r="26" spans="1:3" s="70" customFormat="1" ht="51" x14ac:dyDescent="0.25">
      <c r="A26" s="69"/>
      <c r="B26" s="68" t="s">
        <v>326</v>
      </c>
      <c r="C26" s="69"/>
    </row>
    <row r="27" spans="1:3" s="70" customFormat="1" x14ac:dyDescent="0.25">
      <c r="A27" s="69"/>
      <c r="B27" s="68"/>
      <c r="C27" s="69"/>
    </row>
    <row r="28" spans="1:3" s="70" customFormat="1" ht="51" x14ac:dyDescent="0.25">
      <c r="A28" s="69"/>
      <c r="B28" s="67" t="s">
        <v>111</v>
      </c>
      <c r="C28" s="69"/>
    </row>
    <row r="29" spans="1:3" s="70" customFormat="1" x14ac:dyDescent="0.25">
      <c r="A29" s="69"/>
      <c r="B29" s="68"/>
      <c r="C29" s="69"/>
    </row>
    <row r="30" spans="1:3" s="70" customFormat="1" ht="38.25" x14ac:dyDescent="0.25">
      <c r="A30" s="69"/>
      <c r="B30" s="68" t="s">
        <v>112</v>
      </c>
      <c r="C30" s="69"/>
    </row>
    <row r="31" spans="1:3" x14ac:dyDescent="0.25">
      <c r="A31" s="65"/>
      <c r="B31" s="65"/>
      <c r="C31" s="65"/>
    </row>
    <row r="32" spans="1:3" x14ac:dyDescent="0.25">
      <c r="A32" s="65"/>
      <c r="B32" s="65"/>
      <c r="C32" s="65"/>
    </row>
    <row r="33" spans="1:3" x14ac:dyDescent="0.25">
      <c r="A33" s="65"/>
      <c r="B33" s="65"/>
      <c r="C33" s="65"/>
    </row>
    <row r="34" spans="1:3" x14ac:dyDescent="0.25">
      <c r="A34" s="65"/>
      <c r="B34" s="65"/>
      <c r="C34" s="65"/>
    </row>
    <row r="35" spans="1:3" x14ac:dyDescent="0.25">
      <c r="A35" s="65"/>
      <c r="B35" s="65"/>
      <c r="C35" s="65"/>
    </row>
    <row r="36" spans="1:3" x14ac:dyDescent="0.25">
      <c r="A36" s="65"/>
      <c r="B36" s="65"/>
      <c r="C36" s="65"/>
    </row>
    <row r="37" spans="1:3" x14ac:dyDescent="0.25">
      <c r="A37" s="65"/>
      <c r="B37" s="65"/>
      <c r="C37" s="65"/>
    </row>
    <row r="38" spans="1:3" x14ac:dyDescent="0.25">
      <c r="A38" s="65"/>
      <c r="B38" s="65"/>
      <c r="C38" s="65"/>
    </row>
    <row r="39" spans="1:3" x14ac:dyDescent="0.25">
      <c r="A39" s="65"/>
      <c r="B39" s="65"/>
      <c r="C39" s="65"/>
    </row>
    <row r="40" spans="1:3" x14ac:dyDescent="0.25">
      <c r="A40" s="65"/>
      <c r="B40" s="65"/>
      <c r="C40" s="65"/>
    </row>
    <row r="41" spans="1:3" x14ac:dyDescent="0.25">
      <c r="A41" s="65"/>
      <c r="B41" s="65"/>
      <c r="C41" s="65"/>
    </row>
    <row r="42" spans="1:3" x14ac:dyDescent="0.25">
      <c r="A42" s="65"/>
      <c r="B42" s="65"/>
      <c r="C42" s="65"/>
    </row>
    <row r="43" spans="1:3" x14ac:dyDescent="0.25">
      <c r="A43" s="65"/>
      <c r="B43" s="65"/>
      <c r="C43" s="65"/>
    </row>
    <row r="44" spans="1:3" x14ac:dyDescent="0.25">
      <c r="A44" s="65"/>
      <c r="B44" s="65"/>
      <c r="C44" s="65"/>
    </row>
    <row r="45" spans="1:3" x14ac:dyDescent="0.25">
      <c r="A45" s="65"/>
      <c r="B45" s="65"/>
      <c r="C45" s="65"/>
    </row>
    <row r="46" spans="1:3" x14ac:dyDescent="0.25">
      <c r="A46" s="65"/>
      <c r="B46" s="65"/>
      <c r="C46" s="65"/>
    </row>
    <row r="47" spans="1:3" x14ac:dyDescent="0.25">
      <c r="A47" s="65"/>
      <c r="B47" s="65"/>
      <c r="C47" s="65"/>
    </row>
    <row r="48" spans="1:3" x14ac:dyDescent="0.25">
      <c r="A48" s="65"/>
      <c r="B48" s="65"/>
      <c r="C48" s="65"/>
    </row>
    <row r="49" spans="1:3" x14ac:dyDescent="0.25">
      <c r="A49" s="65"/>
      <c r="B49" s="65"/>
      <c r="C49" s="65"/>
    </row>
    <row r="50" spans="1:3" x14ac:dyDescent="0.25">
      <c r="A50" s="65"/>
      <c r="B50" s="65"/>
      <c r="C50" s="65"/>
    </row>
    <row r="51" spans="1:3" x14ac:dyDescent="0.25">
      <c r="A51" s="65"/>
      <c r="B51" s="65"/>
      <c r="C51" s="65"/>
    </row>
    <row r="52" spans="1:3" x14ac:dyDescent="0.25">
      <c r="A52" s="65"/>
      <c r="B52" s="65"/>
      <c r="C52" s="65"/>
    </row>
    <row r="53" spans="1:3" x14ac:dyDescent="0.25">
      <c r="A53" s="65"/>
      <c r="B53" s="65"/>
      <c r="C53" s="65"/>
    </row>
    <row r="54" spans="1:3" x14ac:dyDescent="0.25">
      <c r="A54" s="65"/>
      <c r="B54" s="65"/>
      <c r="C54" s="65"/>
    </row>
    <row r="55" spans="1:3" x14ac:dyDescent="0.25">
      <c r="A55" s="65"/>
      <c r="B55" s="65"/>
      <c r="C55" s="65"/>
    </row>
    <row r="56" spans="1:3" x14ac:dyDescent="0.25">
      <c r="A56" s="65"/>
      <c r="B56" s="65"/>
      <c r="C56" s="65"/>
    </row>
    <row r="57" spans="1:3" x14ac:dyDescent="0.25">
      <c r="A57" s="65"/>
      <c r="B57" s="65"/>
      <c r="C57" s="65"/>
    </row>
    <row r="58" spans="1:3" x14ac:dyDescent="0.25">
      <c r="A58" s="65"/>
      <c r="B58" s="65"/>
      <c r="C58" s="65"/>
    </row>
    <row r="59" spans="1:3" x14ac:dyDescent="0.25">
      <c r="A59" s="65"/>
      <c r="B59" s="65"/>
      <c r="C59" s="65"/>
    </row>
    <row r="60" spans="1:3" x14ac:dyDescent="0.25">
      <c r="A60" s="65"/>
      <c r="B60" s="65"/>
      <c r="C60" s="65"/>
    </row>
    <row r="61" spans="1:3" x14ac:dyDescent="0.25">
      <c r="A61" s="65"/>
      <c r="B61" s="65"/>
      <c r="C61" s="65"/>
    </row>
    <row r="62" spans="1:3" x14ac:dyDescent="0.25">
      <c r="A62" s="65"/>
      <c r="B62" s="65"/>
      <c r="C62" s="65"/>
    </row>
    <row r="63" spans="1:3" x14ac:dyDescent="0.25">
      <c r="A63" s="65"/>
      <c r="B63" s="66" t="s">
        <v>104</v>
      </c>
      <c r="C63" s="65"/>
    </row>
    <row r="64" spans="1:3" x14ac:dyDescent="0.25">
      <c r="A64" s="65"/>
      <c r="B64" s="66" t="s">
        <v>272</v>
      </c>
      <c r="C64" s="65"/>
    </row>
    <row r="65" spans="1:3" x14ac:dyDescent="0.25">
      <c r="A65" s="65"/>
      <c r="B65" s="65"/>
      <c r="C65" s="65"/>
    </row>
    <row r="66" spans="1:3" x14ac:dyDescent="0.25"/>
  </sheetData>
  <customSheetViews>
    <customSheetView guid="{05B837B4-FDDA-47B8-9D6D-B0632FFD6D77}" printArea="1">
      <selection activeCell="B3" sqref="B3"/>
      <pageMargins left="0.51187499999999997" right="0.25" top="0.75" bottom="0.75" header="0.3" footer="0.3"/>
      <pageSetup paperSize="9" scale="54" orientation="portrait" verticalDpi="0" r:id="rId1"/>
    </customSheetView>
    <customSheetView guid="{43331C61-E5DE-4680-8381-52BB1541163B}" printArea="1">
      <selection activeCell="B3" sqref="B3"/>
      <pageMargins left="0.51187499999999997" right="0.25" top="0.75" bottom="0.75" header="0.3" footer="0.3"/>
      <pageSetup paperSize="9" scale="54" orientation="portrait" verticalDpi="0" r:id="rId2"/>
    </customSheetView>
  </customSheetViews>
  <hyperlinks>
    <hyperlink ref="B10" r:id="rId3" xr:uid="{00000000-0004-0000-0000-000000000000}"/>
    <hyperlink ref="B16" r:id="rId4" xr:uid="{00000000-0004-0000-0000-000001000000}"/>
  </hyperlinks>
  <pageMargins left="0.51187499999999997" right="0.25" top="0.75" bottom="0.75" header="0.3" footer="0.3"/>
  <pageSetup paperSize="9" scale="54" orientation="portrait" verticalDpi="0" r:id="rId5"/>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fitToPage="1"/>
  </sheetPr>
  <dimension ref="A1:WWV80"/>
  <sheetViews>
    <sheetView workbookViewId="0">
      <pane xSplit="2" ySplit="5" topLeftCell="C6" activePane="bottomRight" state="frozen"/>
      <selection pane="topRight" activeCell="C1" sqref="C1"/>
      <selection pane="bottomLeft" activeCell="A6" sqref="A6"/>
      <selection pane="bottomRight" activeCell="D13" sqref="D13"/>
    </sheetView>
  </sheetViews>
  <sheetFormatPr defaultColWidth="0" defaultRowHeight="12.75" zeroHeight="1" x14ac:dyDescent="0.25"/>
  <cols>
    <col min="1" max="1" width="7.7109375" style="123" customWidth="1"/>
    <col min="2" max="4" width="25.7109375" style="76" customWidth="1"/>
    <col min="5" max="19" width="3" style="79" customWidth="1"/>
    <col min="20" max="20" width="5.140625" style="79" customWidth="1"/>
    <col min="21" max="21" width="5.42578125" style="79" customWidth="1"/>
    <col min="22" max="23" width="12.28515625" style="79" customWidth="1"/>
    <col min="24" max="28" width="11.7109375" style="79" customWidth="1"/>
    <col min="29" max="29" width="11.7109375" style="76" customWidth="1"/>
    <col min="30" max="30" width="12.28515625" style="76" customWidth="1"/>
    <col min="31" max="31" width="20.7109375" style="76" customWidth="1"/>
    <col min="32" max="32" width="20.7109375" style="115" customWidth="1"/>
    <col min="33" max="35" width="12.7109375" style="76" customWidth="1"/>
    <col min="36" max="36" width="12.28515625" style="76" customWidth="1"/>
    <col min="37" max="37" width="3.5703125" style="84" customWidth="1"/>
    <col min="38" max="39" width="11.42578125" style="77" hidden="1"/>
    <col min="40" max="40" width="30.7109375" style="77" hidden="1"/>
    <col min="41" max="41" width="5.85546875" style="77" hidden="1"/>
    <col min="42" max="248" width="11.42578125" style="77" hidden="1"/>
    <col min="249" max="249" width="12.5703125" style="77" hidden="1"/>
    <col min="250" max="257" width="5.28515625" style="77" hidden="1"/>
    <col min="258" max="258" width="8" style="77" hidden="1"/>
    <col min="259" max="259" width="4" style="77" hidden="1"/>
    <col min="260" max="260" width="39.42578125" style="77" hidden="1"/>
    <col min="261" max="274" width="5.28515625" style="77" hidden="1"/>
    <col min="275" max="275" width="10.85546875" style="77" hidden="1"/>
    <col min="276" max="276" width="10.140625" style="77" hidden="1"/>
    <col min="277" max="277" width="10.5703125" style="77" hidden="1"/>
    <col min="278" max="278" width="9.5703125" style="77" hidden="1"/>
    <col min="279" max="279" width="5.42578125" style="77" hidden="1"/>
    <col min="280" max="280" width="9.28515625" style="77" hidden="1"/>
    <col min="281" max="281" width="8.28515625" style="77" hidden="1"/>
    <col min="282" max="282" width="9.140625" style="77" hidden="1"/>
    <col min="283" max="283" width="11.42578125" style="77" hidden="1"/>
    <col min="284" max="287" width="9.28515625" style="77" hidden="1"/>
    <col min="288" max="290" width="11.42578125" style="77" hidden="1"/>
    <col min="291" max="291" width="18.7109375" style="77" hidden="1"/>
    <col min="292" max="292" width="18.85546875" style="77" hidden="1"/>
    <col min="293" max="295" width="11.42578125" style="77" hidden="1"/>
    <col min="296" max="296" width="30.7109375" style="77" hidden="1"/>
    <col min="297" max="504" width="11.42578125" style="77" hidden="1"/>
    <col min="505" max="505" width="12.5703125" style="77" hidden="1"/>
    <col min="506" max="513" width="5.28515625" style="77" hidden="1"/>
    <col min="514" max="514" width="8" style="77" hidden="1"/>
    <col min="515" max="515" width="4" style="77" hidden="1"/>
    <col min="516" max="516" width="39.42578125" style="77" hidden="1"/>
    <col min="517" max="530" width="5.28515625" style="77" hidden="1"/>
    <col min="531" max="531" width="10.85546875" style="77" hidden="1"/>
    <col min="532" max="532" width="10.140625" style="77" hidden="1"/>
    <col min="533" max="533" width="10.5703125" style="77" hidden="1"/>
    <col min="534" max="534" width="9.5703125" style="77" hidden="1"/>
    <col min="535" max="535" width="5.42578125" style="77" hidden="1"/>
    <col min="536" max="536" width="9.28515625" style="77" hidden="1"/>
    <col min="537" max="537" width="8.28515625" style="77" hidden="1"/>
    <col min="538" max="538" width="9.140625" style="77" hidden="1"/>
    <col min="539" max="539" width="11.42578125" style="77" hidden="1"/>
    <col min="540" max="543" width="9.28515625" style="77" hidden="1"/>
    <col min="544" max="546" width="11.42578125" style="77" hidden="1"/>
    <col min="547" max="547" width="18.7109375" style="77" hidden="1"/>
    <col min="548" max="548" width="18.85546875" style="77" hidden="1"/>
    <col min="549" max="551" width="11.42578125" style="77" hidden="1"/>
    <col min="552" max="552" width="30.7109375" style="77" hidden="1"/>
    <col min="553" max="760" width="11.42578125" style="77" hidden="1"/>
    <col min="761" max="761" width="12.5703125" style="77" hidden="1"/>
    <col min="762" max="769" width="5.28515625" style="77" hidden="1"/>
    <col min="770" max="770" width="8" style="77" hidden="1"/>
    <col min="771" max="771" width="4" style="77" hidden="1"/>
    <col min="772" max="772" width="39.42578125" style="77" hidden="1"/>
    <col min="773" max="786" width="5.28515625" style="77" hidden="1"/>
    <col min="787" max="787" width="10.85546875" style="77" hidden="1"/>
    <col min="788" max="788" width="10.140625" style="77" hidden="1"/>
    <col min="789" max="789" width="10.5703125" style="77" hidden="1"/>
    <col min="790" max="790" width="9.5703125" style="77" hidden="1"/>
    <col min="791" max="791" width="5.42578125" style="77" hidden="1"/>
    <col min="792" max="792" width="9.28515625" style="77" hidden="1"/>
    <col min="793" max="793" width="8.28515625" style="77" hidden="1"/>
    <col min="794" max="794" width="9.140625" style="77" hidden="1"/>
    <col min="795" max="795" width="11.42578125" style="77" hidden="1"/>
    <col min="796" max="799" width="9.28515625" style="77" hidden="1"/>
    <col min="800" max="802" width="11.42578125" style="77" hidden="1"/>
    <col min="803" max="803" width="18.7109375" style="77" hidden="1"/>
    <col min="804" max="804" width="18.85546875" style="77" hidden="1"/>
    <col min="805" max="807" width="11.42578125" style="77" hidden="1"/>
    <col min="808" max="808" width="30.7109375" style="77" hidden="1"/>
    <col min="809" max="1016" width="11.42578125" style="77" hidden="1"/>
    <col min="1017" max="1017" width="12.5703125" style="77" hidden="1"/>
    <col min="1018" max="1025" width="5.28515625" style="77" hidden="1"/>
    <col min="1026" max="1026" width="8" style="77" hidden="1"/>
    <col min="1027" max="1027" width="4" style="77" hidden="1"/>
    <col min="1028" max="1028" width="39.42578125" style="77" hidden="1"/>
    <col min="1029" max="1042" width="5.28515625" style="77" hidden="1"/>
    <col min="1043" max="1043" width="10.85546875" style="77" hidden="1"/>
    <col min="1044" max="1044" width="10.140625" style="77" hidden="1"/>
    <col min="1045" max="1045" width="10.5703125" style="77" hidden="1"/>
    <col min="1046" max="1046" width="9.5703125" style="77" hidden="1"/>
    <col min="1047" max="1047" width="5.42578125" style="77" hidden="1"/>
    <col min="1048" max="1048" width="9.28515625" style="77" hidden="1"/>
    <col min="1049" max="1049" width="8.28515625" style="77" hidden="1"/>
    <col min="1050" max="1050" width="9.140625" style="77" hidden="1"/>
    <col min="1051" max="1051" width="11.42578125" style="77" hidden="1"/>
    <col min="1052" max="1055" width="9.28515625" style="77" hidden="1"/>
    <col min="1056" max="1058" width="11.42578125" style="77" hidden="1"/>
    <col min="1059" max="1059" width="18.7109375" style="77" hidden="1"/>
    <col min="1060" max="1060" width="18.85546875" style="77" hidden="1"/>
    <col min="1061" max="1063" width="11.42578125" style="77" hidden="1"/>
    <col min="1064" max="1064" width="30.7109375" style="77" hidden="1"/>
    <col min="1065" max="1272" width="11.42578125" style="77" hidden="1"/>
    <col min="1273" max="1273" width="12.5703125" style="77" hidden="1"/>
    <col min="1274" max="1281" width="5.28515625" style="77" hidden="1"/>
    <col min="1282" max="1282" width="8" style="77" hidden="1"/>
    <col min="1283" max="1283" width="4" style="77" hidden="1"/>
    <col min="1284" max="1284" width="39.42578125" style="77" hidden="1"/>
    <col min="1285" max="1298" width="5.28515625" style="77" hidden="1"/>
    <col min="1299" max="1299" width="10.85546875" style="77" hidden="1"/>
    <col min="1300" max="1300" width="10.140625" style="77" hidden="1"/>
    <col min="1301" max="1301" width="10.5703125" style="77" hidden="1"/>
    <col min="1302" max="1302" width="9.5703125" style="77" hidden="1"/>
    <col min="1303" max="1303" width="5.42578125" style="77" hidden="1"/>
    <col min="1304" max="1304" width="9.28515625" style="77" hidden="1"/>
    <col min="1305" max="1305" width="8.28515625" style="77" hidden="1"/>
    <col min="1306" max="1306" width="9.140625" style="77" hidden="1"/>
    <col min="1307" max="1307" width="11.42578125" style="77" hidden="1"/>
    <col min="1308" max="1311" width="9.28515625" style="77" hidden="1"/>
    <col min="1312" max="1314" width="11.42578125" style="77" hidden="1"/>
    <col min="1315" max="1315" width="18.7109375" style="77" hidden="1"/>
    <col min="1316" max="1316" width="18.85546875" style="77" hidden="1"/>
    <col min="1317" max="1319" width="11.42578125" style="77" hidden="1"/>
    <col min="1320" max="1320" width="30.7109375" style="77" hidden="1"/>
    <col min="1321" max="1528" width="11.42578125" style="77" hidden="1"/>
    <col min="1529" max="1529" width="12.5703125" style="77" hidden="1"/>
    <col min="1530" max="1537" width="5.28515625" style="77" hidden="1"/>
    <col min="1538" max="1538" width="8" style="77" hidden="1"/>
    <col min="1539" max="1539" width="4" style="77" hidden="1"/>
    <col min="1540" max="1540" width="39.42578125" style="77" hidden="1"/>
    <col min="1541" max="1554" width="5.28515625" style="77" hidden="1"/>
    <col min="1555" max="1555" width="10.85546875" style="77" hidden="1"/>
    <col min="1556" max="1556" width="10.140625" style="77" hidden="1"/>
    <col min="1557" max="1557" width="10.5703125" style="77" hidden="1"/>
    <col min="1558" max="1558" width="9.5703125" style="77" hidden="1"/>
    <col min="1559" max="1559" width="5.42578125" style="77" hidden="1"/>
    <col min="1560" max="1560" width="9.28515625" style="77" hidden="1"/>
    <col min="1561" max="1561" width="8.28515625" style="77" hidden="1"/>
    <col min="1562" max="1562" width="9.140625" style="77" hidden="1"/>
    <col min="1563" max="1563" width="11.42578125" style="77" hidden="1"/>
    <col min="1564" max="1567" width="9.28515625" style="77" hidden="1"/>
    <col min="1568" max="1570" width="11.42578125" style="77" hidden="1"/>
    <col min="1571" max="1571" width="18.7109375" style="77" hidden="1"/>
    <col min="1572" max="1572" width="18.85546875" style="77" hidden="1"/>
    <col min="1573" max="1575" width="11.42578125" style="77" hidden="1"/>
    <col min="1576" max="1576" width="30.7109375" style="77" hidden="1"/>
    <col min="1577" max="1784" width="11.42578125" style="77" hidden="1"/>
    <col min="1785" max="1785" width="12.5703125" style="77" hidden="1"/>
    <col min="1786" max="1793" width="5.28515625" style="77" hidden="1"/>
    <col min="1794" max="1794" width="8" style="77" hidden="1"/>
    <col min="1795" max="1795" width="4" style="77" hidden="1"/>
    <col min="1796" max="1796" width="39.42578125" style="77" hidden="1"/>
    <col min="1797" max="1810" width="5.28515625" style="77" hidden="1"/>
    <col min="1811" max="1811" width="10.85546875" style="77" hidden="1"/>
    <col min="1812" max="1812" width="10.140625" style="77" hidden="1"/>
    <col min="1813" max="1813" width="10.5703125" style="77" hidden="1"/>
    <col min="1814" max="1814" width="9.5703125" style="77" hidden="1"/>
    <col min="1815" max="1815" width="5.42578125" style="77" hidden="1"/>
    <col min="1816" max="1816" width="9.28515625" style="77" hidden="1"/>
    <col min="1817" max="1817" width="8.28515625" style="77" hidden="1"/>
    <col min="1818" max="1818" width="9.140625" style="77" hidden="1"/>
    <col min="1819" max="1819" width="11.42578125" style="77" hidden="1"/>
    <col min="1820" max="1823" width="9.28515625" style="77" hidden="1"/>
    <col min="1824" max="1826" width="11.42578125" style="77" hidden="1"/>
    <col min="1827" max="1827" width="18.7109375" style="77" hidden="1"/>
    <col min="1828" max="1828" width="18.85546875" style="77" hidden="1"/>
    <col min="1829" max="1831" width="11.42578125" style="77" hidden="1"/>
    <col min="1832" max="1832" width="30.7109375" style="77" hidden="1"/>
    <col min="1833" max="2040" width="11.42578125" style="77" hidden="1"/>
    <col min="2041" max="2041" width="12.5703125" style="77" hidden="1"/>
    <col min="2042" max="2049" width="5.28515625" style="77" hidden="1"/>
    <col min="2050" max="2050" width="8" style="77" hidden="1"/>
    <col min="2051" max="2051" width="4" style="77" hidden="1"/>
    <col min="2052" max="2052" width="39.42578125" style="77" hidden="1"/>
    <col min="2053" max="2066" width="5.28515625" style="77" hidden="1"/>
    <col min="2067" max="2067" width="10.85546875" style="77" hidden="1"/>
    <col min="2068" max="2068" width="10.140625" style="77" hidden="1"/>
    <col min="2069" max="2069" width="10.5703125" style="77" hidden="1"/>
    <col min="2070" max="2070" width="9.5703125" style="77" hidden="1"/>
    <col min="2071" max="2071" width="5.42578125" style="77" hidden="1"/>
    <col min="2072" max="2072" width="9.28515625" style="77" hidden="1"/>
    <col min="2073" max="2073" width="8.28515625" style="77" hidden="1"/>
    <col min="2074" max="2074" width="9.140625" style="77" hidden="1"/>
    <col min="2075" max="2075" width="11.42578125" style="77" hidden="1"/>
    <col min="2076" max="2079" width="9.28515625" style="77" hidden="1"/>
    <col min="2080" max="2082" width="11.42578125" style="77" hidden="1"/>
    <col min="2083" max="2083" width="18.7109375" style="77" hidden="1"/>
    <col min="2084" max="2084" width="18.85546875" style="77" hidden="1"/>
    <col min="2085" max="2087" width="11.42578125" style="77" hidden="1"/>
    <col min="2088" max="2088" width="30.7109375" style="77" hidden="1"/>
    <col min="2089" max="2296" width="11.42578125" style="77" hidden="1"/>
    <col min="2297" max="2297" width="12.5703125" style="77" hidden="1"/>
    <col min="2298" max="2305" width="5.28515625" style="77" hidden="1"/>
    <col min="2306" max="2306" width="8" style="77" hidden="1"/>
    <col min="2307" max="2307" width="4" style="77" hidden="1"/>
    <col min="2308" max="2308" width="39.42578125" style="77" hidden="1"/>
    <col min="2309" max="2322" width="5.28515625" style="77" hidden="1"/>
    <col min="2323" max="2323" width="10.85546875" style="77" hidden="1"/>
    <col min="2324" max="2324" width="10.140625" style="77" hidden="1"/>
    <col min="2325" max="2325" width="10.5703125" style="77" hidden="1"/>
    <col min="2326" max="2326" width="9.5703125" style="77" hidden="1"/>
    <col min="2327" max="2327" width="5.42578125" style="77" hidden="1"/>
    <col min="2328" max="2328" width="9.28515625" style="77" hidden="1"/>
    <col min="2329" max="2329" width="8.28515625" style="77" hidden="1"/>
    <col min="2330" max="2330" width="9.140625" style="77" hidden="1"/>
    <col min="2331" max="2331" width="11.42578125" style="77" hidden="1"/>
    <col min="2332" max="2335" width="9.28515625" style="77" hidden="1"/>
    <col min="2336" max="2338" width="11.42578125" style="77" hidden="1"/>
    <col min="2339" max="2339" width="18.7109375" style="77" hidden="1"/>
    <col min="2340" max="2340" width="18.85546875" style="77" hidden="1"/>
    <col min="2341" max="2343" width="11.42578125" style="77" hidden="1"/>
    <col min="2344" max="2344" width="30.7109375" style="77" hidden="1"/>
    <col min="2345" max="2552" width="11.42578125" style="77" hidden="1"/>
    <col min="2553" max="2553" width="12.5703125" style="77" hidden="1"/>
    <col min="2554" max="2561" width="5.28515625" style="77" hidden="1"/>
    <col min="2562" max="2562" width="8" style="77" hidden="1"/>
    <col min="2563" max="2563" width="4" style="77" hidden="1"/>
    <col min="2564" max="2564" width="39.42578125" style="77" hidden="1"/>
    <col min="2565" max="2578" width="5.28515625" style="77" hidden="1"/>
    <col min="2579" max="2579" width="10.85546875" style="77" hidden="1"/>
    <col min="2580" max="2580" width="10.140625" style="77" hidden="1"/>
    <col min="2581" max="2581" width="10.5703125" style="77" hidden="1"/>
    <col min="2582" max="2582" width="9.5703125" style="77" hidden="1"/>
    <col min="2583" max="2583" width="5.42578125" style="77" hidden="1"/>
    <col min="2584" max="2584" width="9.28515625" style="77" hidden="1"/>
    <col min="2585" max="2585" width="8.28515625" style="77" hidden="1"/>
    <col min="2586" max="2586" width="9.140625" style="77" hidden="1"/>
    <col min="2587" max="2587" width="11.42578125" style="77" hidden="1"/>
    <col min="2588" max="2591" width="9.28515625" style="77" hidden="1"/>
    <col min="2592" max="2594" width="11.42578125" style="77" hidden="1"/>
    <col min="2595" max="2595" width="18.7109375" style="77" hidden="1"/>
    <col min="2596" max="2596" width="18.85546875" style="77" hidden="1"/>
    <col min="2597" max="2599" width="11.42578125" style="77" hidden="1"/>
    <col min="2600" max="2600" width="30.7109375" style="77" hidden="1"/>
    <col min="2601" max="2808" width="11.42578125" style="77" hidden="1"/>
    <col min="2809" max="2809" width="12.5703125" style="77" hidden="1"/>
    <col min="2810" max="2817" width="5.28515625" style="77" hidden="1"/>
    <col min="2818" max="2818" width="8" style="77" hidden="1"/>
    <col min="2819" max="2819" width="4" style="77" hidden="1"/>
    <col min="2820" max="2820" width="39.42578125" style="77" hidden="1"/>
    <col min="2821" max="2834" width="5.28515625" style="77" hidden="1"/>
    <col min="2835" max="2835" width="10.85546875" style="77" hidden="1"/>
    <col min="2836" max="2836" width="10.140625" style="77" hidden="1"/>
    <col min="2837" max="2837" width="10.5703125" style="77" hidden="1"/>
    <col min="2838" max="2838" width="9.5703125" style="77" hidden="1"/>
    <col min="2839" max="2839" width="5.42578125" style="77" hidden="1"/>
    <col min="2840" max="2840" width="9.28515625" style="77" hidden="1"/>
    <col min="2841" max="2841" width="8.28515625" style="77" hidden="1"/>
    <col min="2842" max="2842" width="9.140625" style="77" hidden="1"/>
    <col min="2843" max="2843" width="11.42578125" style="77" hidden="1"/>
    <col min="2844" max="2847" width="9.28515625" style="77" hidden="1"/>
    <col min="2848" max="2850" width="11.42578125" style="77" hidden="1"/>
    <col min="2851" max="2851" width="18.7109375" style="77" hidden="1"/>
    <col min="2852" max="2852" width="18.85546875" style="77" hidden="1"/>
    <col min="2853" max="2855" width="11.42578125" style="77" hidden="1"/>
    <col min="2856" max="2856" width="30.7109375" style="77" hidden="1"/>
    <col min="2857" max="3064" width="11.42578125" style="77" hidden="1"/>
    <col min="3065" max="3065" width="12.5703125" style="77" hidden="1"/>
    <col min="3066" max="3073" width="5.28515625" style="77" hidden="1"/>
    <col min="3074" max="3074" width="8" style="77" hidden="1"/>
    <col min="3075" max="3075" width="4" style="77" hidden="1"/>
    <col min="3076" max="3076" width="39.42578125" style="77" hidden="1"/>
    <col min="3077" max="3090" width="5.28515625" style="77" hidden="1"/>
    <col min="3091" max="3091" width="10.85546875" style="77" hidden="1"/>
    <col min="3092" max="3092" width="10.140625" style="77" hidden="1"/>
    <col min="3093" max="3093" width="10.5703125" style="77" hidden="1"/>
    <col min="3094" max="3094" width="9.5703125" style="77" hidden="1"/>
    <col min="3095" max="3095" width="5.42578125" style="77" hidden="1"/>
    <col min="3096" max="3096" width="9.28515625" style="77" hidden="1"/>
    <col min="3097" max="3097" width="8.28515625" style="77" hidden="1"/>
    <col min="3098" max="3098" width="9.140625" style="77" hidden="1"/>
    <col min="3099" max="3099" width="11.42578125" style="77" hidden="1"/>
    <col min="3100" max="3103" width="9.28515625" style="77" hidden="1"/>
    <col min="3104" max="3106" width="11.42578125" style="77" hidden="1"/>
    <col min="3107" max="3107" width="18.7109375" style="77" hidden="1"/>
    <col min="3108" max="3108" width="18.85546875" style="77" hidden="1"/>
    <col min="3109" max="3111" width="11.42578125" style="77" hidden="1"/>
    <col min="3112" max="3112" width="30.7109375" style="77" hidden="1"/>
    <col min="3113" max="3320" width="11.42578125" style="77" hidden="1"/>
    <col min="3321" max="3321" width="12.5703125" style="77" hidden="1"/>
    <col min="3322" max="3329" width="5.28515625" style="77" hidden="1"/>
    <col min="3330" max="3330" width="8" style="77" hidden="1"/>
    <col min="3331" max="3331" width="4" style="77" hidden="1"/>
    <col min="3332" max="3332" width="39.42578125" style="77" hidden="1"/>
    <col min="3333" max="3346" width="5.28515625" style="77" hidden="1"/>
    <col min="3347" max="3347" width="10.85546875" style="77" hidden="1"/>
    <col min="3348" max="3348" width="10.140625" style="77" hidden="1"/>
    <col min="3349" max="3349" width="10.5703125" style="77" hidden="1"/>
    <col min="3350" max="3350" width="9.5703125" style="77" hidden="1"/>
    <col min="3351" max="3351" width="5.42578125" style="77" hidden="1"/>
    <col min="3352" max="3352" width="9.28515625" style="77" hidden="1"/>
    <col min="3353" max="3353" width="8.28515625" style="77" hidden="1"/>
    <col min="3354" max="3354" width="9.140625" style="77" hidden="1"/>
    <col min="3355" max="3355" width="11.42578125" style="77" hidden="1"/>
    <col min="3356" max="3359" width="9.28515625" style="77" hidden="1"/>
    <col min="3360" max="3362" width="11.42578125" style="77" hidden="1"/>
    <col min="3363" max="3363" width="18.7109375" style="77" hidden="1"/>
    <col min="3364" max="3364" width="18.85546875" style="77" hidden="1"/>
    <col min="3365" max="3367" width="11.42578125" style="77" hidden="1"/>
    <col min="3368" max="3368" width="30.7109375" style="77" hidden="1"/>
    <col min="3369" max="3576" width="11.42578125" style="77" hidden="1"/>
    <col min="3577" max="3577" width="12.5703125" style="77" hidden="1"/>
    <col min="3578" max="3585" width="5.28515625" style="77" hidden="1"/>
    <col min="3586" max="3586" width="8" style="77" hidden="1"/>
    <col min="3587" max="3587" width="4" style="77" hidden="1"/>
    <col min="3588" max="3588" width="39.42578125" style="77" hidden="1"/>
    <col min="3589" max="3602" width="5.28515625" style="77" hidden="1"/>
    <col min="3603" max="3603" width="10.85546875" style="77" hidden="1"/>
    <col min="3604" max="3604" width="10.140625" style="77" hidden="1"/>
    <col min="3605" max="3605" width="10.5703125" style="77" hidden="1"/>
    <col min="3606" max="3606" width="9.5703125" style="77" hidden="1"/>
    <col min="3607" max="3607" width="5.42578125" style="77" hidden="1"/>
    <col min="3608" max="3608" width="9.28515625" style="77" hidden="1"/>
    <col min="3609" max="3609" width="8.28515625" style="77" hidden="1"/>
    <col min="3610" max="3610" width="9.140625" style="77" hidden="1"/>
    <col min="3611" max="3611" width="11.42578125" style="77" hidden="1"/>
    <col min="3612" max="3615" width="9.28515625" style="77" hidden="1"/>
    <col min="3616" max="3618" width="11.42578125" style="77" hidden="1"/>
    <col min="3619" max="3619" width="18.7109375" style="77" hidden="1"/>
    <col min="3620" max="3620" width="18.85546875" style="77" hidden="1"/>
    <col min="3621" max="3623" width="11.42578125" style="77" hidden="1"/>
    <col min="3624" max="3624" width="30.7109375" style="77" hidden="1"/>
    <col min="3625" max="3832" width="11.42578125" style="77" hidden="1"/>
    <col min="3833" max="3833" width="12.5703125" style="77" hidden="1"/>
    <col min="3834" max="3841" width="5.28515625" style="77" hidden="1"/>
    <col min="3842" max="3842" width="8" style="77" hidden="1"/>
    <col min="3843" max="3843" width="4" style="77" hidden="1"/>
    <col min="3844" max="3844" width="39.42578125" style="77" hidden="1"/>
    <col min="3845" max="3858" width="5.28515625" style="77" hidden="1"/>
    <col min="3859" max="3859" width="10.85546875" style="77" hidden="1"/>
    <col min="3860" max="3860" width="10.140625" style="77" hidden="1"/>
    <col min="3861" max="3861" width="10.5703125" style="77" hidden="1"/>
    <col min="3862" max="3862" width="9.5703125" style="77" hidden="1"/>
    <col min="3863" max="3863" width="5.42578125" style="77" hidden="1"/>
    <col min="3864" max="3864" width="9.28515625" style="77" hidden="1"/>
    <col min="3865" max="3865" width="8.28515625" style="77" hidden="1"/>
    <col min="3866" max="3866" width="9.140625" style="77" hidden="1"/>
    <col min="3867" max="3867" width="11.42578125" style="77" hidden="1"/>
    <col min="3868" max="3871" width="9.28515625" style="77" hidden="1"/>
    <col min="3872" max="3874" width="11.42578125" style="77" hidden="1"/>
    <col min="3875" max="3875" width="18.7109375" style="77" hidden="1"/>
    <col min="3876" max="3876" width="18.85546875" style="77" hidden="1"/>
    <col min="3877" max="3879" width="11.42578125" style="77" hidden="1"/>
    <col min="3880" max="3880" width="30.7109375" style="77" hidden="1"/>
    <col min="3881" max="4088" width="11.42578125" style="77" hidden="1"/>
    <col min="4089" max="4089" width="12.5703125" style="77" hidden="1"/>
    <col min="4090" max="4097" width="5.28515625" style="77" hidden="1"/>
    <col min="4098" max="4098" width="8" style="77" hidden="1"/>
    <col min="4099" max="4099" width="4" style="77" hidden="1"/>
    <col min="4100" max="4100" width="39.42578125" style="77" hidden="1"/>
    <col min="4101" max="4114" width="5.28515625" style="77" hidden="1"/>
    <col min="4115" max="4115" width="10.85546875" style="77" hidden="1"/>
    <col min="4116" max="4116" width="10.140625" style="77" hidden="1"/>
    <col min="4117" max="4117" width="10.5703125" style="77" hidden="1"/>
    <col min="4118" max="4118" width="9.5703125" style="77" hidden="1"/>
    <col min="4119" max="4119" width="5.42578125" style="77" hidden="1"/>
    <col min="4120" max="4120" width="9.28515625" style="77" hidden="1"/>
    <col min="4121" max="4121" width="8.28515625" style="77" hidden="1"/>
    <col min="4122" max="4122" width="9.140625" style="77" hidden="1"/>
    <col min="4123" max="4123" width="11.42578125" style="77" hidden="1"/>
    <col min="4124" max="4127" width="9.28515625" style="77" hidden="1"/>
    <col min="4128" max="4130" width="11.42578125" style="77" hidden="1"/>
    <col min="4131" max="4131" width="18.7109375" style="77" hidden="1"/>
    <col min="4132" max="4132" width="18.85546875" style="77" hidden="1"/>
    <col min="4133" max="4135" width="11.42578125" style="77" hidden="1"/>
    <col min="4136" max="4136" width="30.7109375" style="77" hidden="1"/>
    <col min="4137" max="4344" width="11.42578125" style="77" hidden="1"/>
    <col min="4345" max="4345" width="12.5703125" style="77" hidden="1"/>
    <col min="4346" max="4353" width="5.28515625" style="77" hidden="1"/>
    <col min="4354" max="4354" width="8" style="77" hidden="1"/>
    <col min="4355" max="4355" width="4" style="77" hidden="1"/>
    <col min="4356" max="4356" width="39.42578125" style="77" hidden="1"/>
    <col min="4357" max="4370" width="5.28515625" style="77" hidden="1"/>
    <col min="4371" max="4371" width="10.85546875" style="77" hidden="1"/>
    <col min="4372" max="4372" width="10.140625" style="77" hidden="1"/>
    <col min="4373" max="4373" width="10.5703125" style="77" hidden="1"/>
    <col min="4374" max="4374" width="9.5703125" style="77" hidden="1"/>
    <col min="4375" max="4375" width="5.42578125" style="77" hidden="1"/>
    <col min="4376" max="4376" width="9.28515625" style="77" hidden="1"/>
    <col min="4377" max="4377" width="8.28515625" style="77" hidden="1"/>
    <col min="4378" max="4378" width="9.140625" style="77" hidden="1"/>
    <col min="4379" max="4379" width="11.42578125" style="77" hidden="1"/>
    <col min="4380" max="4383" width="9.28515625" style="77" hidden="1"/>
    <col min="4384" max="4386" width="11.42578125" style="77" hidden="1"/>
    <col min="4387" max="4387" width="18.7109375" style="77" hidden="1"/>
    <col min="4388" max="4388" width="18.85546875" style="77" hidden="1"/>
    <col min="4389" max="4391" width="11.42578125" style="77" hidden="1"/>
    <col min="4392" max="4392" width="30.7109375" style="77" hidden="1"/>
    <col min="4393" max="4600" width="11.42578125" style="77" hidden="1"/>
    <col min="4601" max="4601" width="12.5703125" style="77" hidden="1"/>
    <col min="4602" max="4609" width="5.28515625" style="77" hidden="1"/>
    <col min="4610" max="4610" width="8" style="77" hidden="1"/>
    <col min="4611" max="4611" width="4" style="77" hidden="1"/>
    <col min="4612" max="4612" width="39.42578125" style="77" hidden="1"/>
    <col min="4613" max="4626" width="5.28515625" style="77" hidden="1"/>
    <col min="4627" max="4627" width="10.85546875" style="77" hidden="1"/>
    <col min="4628" max="4628" width="10.140625" style="77" hidden="1"/>
    <col min="4629" max="4629" width="10.5703125" style="77" hidden="1"/>
    <col min="4630" max="4630" width="9.5703125" style="77" hidden="1"/>
    <col min="4631" max="4631" width="5.42578125" style="77" hidden="1"/>
    <col min="4632" max="4632" width="9.28515625" style="77" hidden="1"/>
    <col min="4633" max="4633" width="8.28515625" style="77" hidden="1"/>
    <col min="4634" max="4634" width="9.140625" style="77" hidden="1"/>
    <col min="4635" max="4635" width="11.42578125" style="77" hidden="1"/>
    <col min="4636" max="4639" width="9.28515625" style="77" hidden="1"/>
    <col min="4640" max="4642" width="11.42578125" style="77" hidden="1"/>
    <col min="4643" max="4643" width="18.7109375" style="77" hidden="1"/>
    <col min="4644" max="4644" width="18.85546875" style="77" hidden="1"/>
    <col min="4645" max="4647" width="11.42578125" style="77" hidden="1"/>
    <col min="4648" max="4648" width="30.7109375" style="77" hidden="1"/>
    <col min="4649" max="4856" width="11.42578125" style="77" hidden="1"/>
    <col min="4857" max="4857" width="12.5703125" style="77" hidden="1"/>
    <col min="4858" max="4865" width="5.28515625" style="77" hidden="1"/>
    <col min="4866" max="4866" width="8" style="77" hidden="1"/>
    <col min="4867" max="4867" width="4" style="77" hidden="1"/>
    <col min="4868" max="4868" width="39.42578125" style="77" hidden="1"/>
    <col min="4869" max="4882" width="5.28515625" style="77" hidden="1"/>
    <col min="4883" max="4883" width="10.85546875" style="77" hidden="1"/>
    <col min="4884" max="4884" width="10.140625" style="77" hidden="1"/>
    <col min="4885" max="4885" width="10.5703125" style="77" hidden="1"/>
    <col min="4886" max="4886" width="9.5703125" style="77" hidden="1"/>
    <col min="4887" max="4887" width="5.42578125" style="77" hidden="1"/>
    <col min="4888" max="4888" width="9.28515625" style="77" hidden="1"/>
    <col min="4889" max="4889" width="8.28515625" style="77" hidden="1"/>
    <col min="4890" max="4890" width="9.140625" style="77" hidden="1"/>
    <col min="4891" max="4891" width="11.42578125" style="77" hidden="1"/>
    <col min="4892" max="4895" width="9.28515625" style="77" hidden="1"/>
    <col min="4896" max="4898" width="11.42578125" style="77" hidden="1"/>
    <col min="4899" max="4899" width="18.7109375" style="77" hidden="1"/>
    <col min="4900" max="4900" width="18.85546875" style="77" hidden="1"/>
    <col min="4901" max="4903" width="11.42578125" style="77" hidden="1"/>
    <col min="4904" max="4904" width="30.7109375" style="77" hidden="1"/>
    <col min="4905" max="5112" width="11.42578125" style="77" hidden="1"/>
    <col min="5113" max="5113" width="12.5703125" style="77" hidden="1"/>
    <col min="5114" max="5121" width="5.28515625" style="77" hidden="1"/>
    <col min="5122" max="5122" width="8" style="77" hidden="1"/>
    <col min="5123" max="5123" width="4" style="77" hidden="1"/>
    <col min="5124" max="5124" width="39.42578125" style="77" hidden="1"/>
    <col min="5125" max="5138" width="5.28515625" style="77" hidden="1"/>
    <col min="5139" max="5139" width="10.85546875" style="77" hidden="1"/>
    <col min="5140" max="5140" width="10.140625" style="77" hidden="1"/>
    <col min="5141" max="5141" width="10.5703125" style="77" hidden="1"/>
    <col min="5142" max="5142" width="9.5703125" style="77" hidden="1"/>
    <col min="5143" max="5143" width="5.42578125" style="77" hidden="1"/>
    <col min="5144" max="5144" width="9.28515625" style="77" hidden="1"/>
    <col min="5145" max="5145" width="8.28515625" style="77" hidden="1"/>
    <col min="5146" max="5146" width="9.140625" style="77" hidden="1"/>
    <col min="5147" max="5147" width="11.42578125" style="77" hidden="1"/>
    <col min="5148" max="5151" width="9.28515625" style="77" hidden="1"/>
    <col min="5152" max="5154" width="11.42578125" style="77" hidden="1"/>
    <col min="5155" max="5155" width="18.7109375" style="77" hidden="1"/>
    <col min="5156" max="5156" width="18.85546875" style="77" hidden="1"/>
    <col min="5157" max="5159" width="11.42578125" style="77" hidden="1"/>
    <col min="5160" max="5160" width="30.7109375" style="77" hidden="1"/>
    <col min="5161" max="5368" width="11.42578125" style="77" hidden="1"/>
    <col min="5369" max="5369" width="12.5703125" style="77" hidden="1"/>
    <col min="5370" max="5377" width="5.28515625" style="77" hidden="1"/>
    <col min="5378" max="5378" width="8" style="77" hidden="1"/>
    <col min="5379" max="5379" width="4" style="77" hidden="1"/>
    <col min="5380" max="5380" width="39.42578125" style="77" hidden="1"/>
    <col min="5381" max="5394" width="5.28515625" style="77" hidden="1"/>
    <col min="5395" max="5395" width="10.85546875" style="77" hidden="1"/>
    <col min="5396" max="5396" width="10.140625" style="77" hidden="1"/>
    <col min="5397" max="5397" width="10.5703125" style="77" hidden="1"/>
    <col min="5398" max="5398" width="9.5703125" style="77" hidden="1"/>
    <col min="5399" max="5399" width="5.42578125" style="77" hidden="1"/>
    <col min="5400" max="5400" width="9.28515625" style="77" hidden="1"/>
    <col min="5401" max="5401" width="8.28515625" style="77" hidden="1"/>
    <col min="5402" max="5402" width="9.140625" style="77" hidden="1"/>
    <col min="5403" max="5403" width="11.42578125" style="77" hidden="1"/>
    <col min="5404" max="5407" width="9.28515625" style="77" hidden="1"/>
    <col min="5408" max="5410" width="11.42578125" style="77" hidden="1"/>
    <col min="5411" max="5411" width="18.7109375" style="77" hidden="1"/>
    <col min="5412" max="5412" width="18.85546875" style="77" hidden="1"/>
    <col min="5413" max="5415" width="11.42578125" style="77" hidden="1"/>
    <col min="5416" max="5416" width="30.7109375" style="77" hidden="1"/>
    <col min="5417" max="5624" width="11.42578125" style="77" hidden="1"/>
    <col min="5625" max="5625" width="12.5703125" style="77" hidden="1"/>
    <col min="5626" max="5633" width="5.28515625" style="77" hidden="1"/>
    <col min="5634" max="5634" width="8" style="77" hidden="1"/>
    <col min="5635" max="5635" width="4" style="77" hidden="1"/>
    <col min="5636" max="5636" width="39.42578125" style="77" hidden="1"/>
    <col min="5637" max="5650" width="5.28515625" style="77" hidden="1"/>
    <col min="5651" max="5651" width="10.85546875" style="77" hidden="1"/>
    <col min="5652" max="5652" width="10.140625" style="77" hidden="1"/>
    <col min="5653" max="5653" width="10.5703125" style="77" hidden="1"/>
    <col min="5654" max="5654" width="9.5703125" style="77" hidden="1"/>
    <col min="5655" max="5655" width="5.42578125" style="77" hidden="1"/>
    <col min="5656" max="5656" width="9.28515625" style="77" hidden="1"/>
    <col min="5657" max="5657" width="8.28515625" style="77" hidden="1"/>
    <col min="5658" max="5658" width="9.140625" style="77" hidden="1"/>
    <col min="5659" max="5659" width="11.42578125" style="77" hidden="1"/>
    <col min="5660" max="5663" width="9.28515625" style="77" hidden="1"/>
    <col min="5664" max="5666" width="11.42578125" style="77" hidden="1"/>
    <col min="5667" max="5667" width="18.7109375" style="77" hidden="1"/>
    <col min="5668" max="5668" width="18.85546875" style="77" hidden="1"/>
    <col min="5669" max="5671" width="11.42578125" style="77" hidden="1"/>
    <col min="5672" max="5672" width="30.7109375" style="77" hidden="1"/>
    <col min="5673" max="5880" width="11.42578125" style="77" hidden="1"/>
    <col min="5881" max="5881" width="12.5703125" style="77" hidden="1"/>
    <col min="5882" max="5889" width="5.28515625" style="77" hidden="1"/>
    <col min="5890" max="5890" width="8" style="77" hidden="1"/>
    <col min="5891" max="5891" width="4" style="77" hidden="1"/>
    <col min="5892" max="5892" width="39.42578125" style="77" hidden="1"/>
    <col min="5893" max="5906" width="5.28515625" style="77" hidden="1"/>
    <col min="5907" max="5907" width="10.85546875" style="77" hidden="1"/>
    <col min="5908" max="5908" width="10.140625" style="77" hidden="1"/>
    <col min="5909" max="5909" width="10.5703125" style="77" hidden="1"/>
    <col min="5910" max="5910" width="9.5703125" style="77" hidden="1"/>
    <col min="5911" max="5911" width="5.42578125" style="77" hidden="1"/>
    <col min="5912" max="5912" width="9.28515625" style="77" hidden="1"/>
    <col min="5913" max="5913" width="8.28515625" style="77" hidden="1"/>
    <col min="5914" max="5914" width="9.140625" style="77" hidden="1"/>
    <col min="5915" max="5915" width="11.42578125" style="77" hidden="1"/>
    <col min="5916" max="5919" width="9.28515625" style="77" hidden="1"/>
    <col min="5920" max="5922" width="11.42578125" style="77" hidden="1"/>
    <col min="5923" max="5923" width="18.7109375" style="77" hidden="1"/>
    <col min="5924" max="5924" width="18.85546875" style="77" hidden="1"/>
    <col min="5925" max="5927" width="11.42578125" style="77" hidden="1"/>
    <col min="5928" max="5928" width="30.7109375" style="77" hidden="1"/>
    <col min="5929" max="6136" width="11.42578125" style="77" hidden="1"/>
    <col min="6137" max="6137" width="12.5703125" style="77" hidden="1"/>
    <col min="6138" max="6145" width="5.28515625" style="77" hidden="1"/>
    <col min="6146" max="6146" width="8" style="77" hidden="1"/>
    <col min="6147" max="6147" width="4" style="77" hidden="1"/>
    <col min="6148" max="6148" width="39.42578125" style="77" hidden="1"/>
    <col min="6149" max="6162" width="5.28515625" style="77" hidden="1"/>
    <col min="6163" max="6163" width="10.85546875" style="77" hidden="1"/>
    <col min="6164" max="6164" width="10.140625" style="77" hidden="1"/>
    <col min="6165" max="6165" width="10.5703125" style="77" hidden="1"/>
    <col min="6166" max="6166" width="9.5703125" style="77" hidden="1"/>
    <col min="6167" max="6167" width="5.42578125" style="77" hidden="1"/>
    <col min="6168" max="6168" width="9.28515625" style="77" hidden="1"/>
    <col min="6169" max="6169" width="8.28515625" style="77" hidden="1"/>
    <col min="6170" max="6170" width="9.140625" style="77" hidden="1"/>
    <col min="6171" max="6171" width="11.42578125" style="77" hidden="1"/>
    <col min="6172" max="6175" width="9.28515625" style="77" hidden="1"/>
    <col min="6176" max="6178" width="11.42578125" style="77" hidden="1"/>
    <col min="6179" max="6179" width="18.7109375" style="77" hidden="1"/>
    <col min="6180" max="6180" width="18.85546875" style="77" hidden="1"/>
    <col min="6181" max="6183" width="11.42578125" style="77" hidden="1"/>
    <col min="6184" max="6184" width="30.7109375" style="77" hidden="1"/>
    <col min="6185" max="6392" width="11.42578125" style="77" hidden="1"/>
    <col min="6393" max="6393" width="12.5703125" style="77" hidden="1"/>
    <col min="6394" max="6401" width="5.28515625" style="77" hidden="1"/>
    <col min="6402" max="6402" width="8" style="77" hidden="1"/>
    <col min="6403" max="6403" width="4" style="77" hidden="1"/>
    <col min="6404" max="6404" width="39.42578125" style="77" hidden="1"/>
    <col min="6405" max="6418" width="5.28515625" style="77" hidden="1"/>
    <col min="6419" max="6419" width="10.85546875" style="77" hidden="1"/>
    <col min="6420" max="6420" width="10.140625" style="77" hidden="1"/>
    <col min="6421" max="6421" width="10.5703125" style="77" hidden="1"/>
    <col min="6422" max="6422" width="9.5703125" style="77" hidden="1"/>
    <col min="6423" max="6423" width="5.42578125" style="77" hidden="1"/>
    <col min="6424" max="6424" width="9.28515625" style="77" hidden="1"/>
    <col min="6425" max="6425" width="8.28515625" style="77" hidden="1"/>
    <col min="6426" max="6426" width="9.140625" style="77" hidden="1"/>
    <col min="6427" max="6427" width="11.42578125" style="77" hidden="1"/>
    <col min="6428" max="6431" width="9.28515625" style="77" hidden="1"/>
    <col min="6432" max="6434" width="11.42578125" style="77" hidden="1"/>
    <col min="6435" max="6435" width="18.7109375" style="77" hidden="1"/>
    <col min="6436" max="6436" width="18.85546875" style="77" hidden="1"/>
    <col min="6437" max="6439" width="11.42578125" style="77" hidden="1"/>
    <col min="6440" max="6440" width="30.7109375" style="77" hidden="1"/>
    <col min="6441" max="6648" width="11.42578125" style="77" hidden="1"/>
    <col min="6649" max="6649" width="12.5703125" style="77" hidden="1"/>
    <col min="6650" max="6657" width="5.28515625" style="77" hidden="1"/>
    <col min="6658" max="6658" width="8" style="77" hidden="1"/>
    <col min="6659" max="6659" width="4" style="77" hidden="1"/>
    <col min="6660" max="6660" width="39.42578125" style="77" hidden="1"/>
    <col min="6661" max="6674" width="5.28515625" style="77" hidden="1"/>
    <col min="6675" max="6675" width="10.85546875" style="77" hidden="1"/>
    <col min="6676" max="6676" width="10.140625" style="77" hidden="1"/>
    <col min="6677" max="6677" width="10.5703125" style="77" hidden="1"/>
    <col min="6678" max="6678" width="9.5703125" style="77" hidden="1"/>
    <col min="6679" max="6679" width="5.42578125" style="77" hidden="1"/>
    <col min="6680" max="6680" width="9.28515625" style="77" hidden="1"/>
    <col min="6681" max="6681" width="8.28515625" style="77" hidden="1"/>
    <col min="6682" max="6682" width="9.140625" style="77" hidden="1"/>
    <col min="6683" max="6683" width="11.42578125" style="77" hidden="1"/>
    <col min="6684" max="6687" width="9.28515625" style="77" hidden="1"/>
    <col min="6688" max="6690" width="11.42578125" style="77" hidden="1"/>
    <col min="6691" max="6691" width="18.7109375" style="77" hidden="1"/>
    <col min="6692" max="6692" width="18.85546875" style="77" hidden="1"/>
    <col min="6693" max="6695" width="11.42578125" style="77" hidden="1"/>
    <col min="6696" max="6696" width="30.7109375" style="77" hidden="1"/>
    <col min="6697" max="6904" width="11.42578125" style="77" hidden="1"/>
    <col min="6905" max="6905" width="12.5703125" style="77" hidden="1"/>
    <col min="6906" max="6913" width="5.28515625" style="77" hidden="1"/>
    <col min="6914" max="6914" width="8" style="77" hidden="1"/>
    <col min="6915" max="6915" width="4" style="77" hidden="1"/>
    <col min="6916" max="6916" width="39.42578125" style="77" hidden="1"/>
    <col min="6917" max="6930" width="5.28515625" style="77" hidden="1"/>
    <col min="6931" max="6931" width="10.85546875" style="77" hidden="1"/>
    <col min="6932" max="6932" width="10.140625" style="77" hidden="1"/>
    <col min="6933" max="6933" width="10.5703125" style="77" hidden="1"/>
    <col min="6934" max="6934" width="9.5703125" style="77" hidden="1"/>
    <col min="6935" max="6935" width="5.42578125" style="77" hidden="1"/>
    <col min="6936" max="6936" width="9.28515625" style="77" hidden="1"/>
    <col min="6937" max="6937" width="8.28515625" style="77" hidden="1"/>
    <col min="6938" max="6938" width="9.140625" style="77" hidden="1"/>
    <col min="6939" max="6939" width="11.42578125" style="77" hidden="1"/>
    <col min="6940" max="6943" width="9.28515625" style="77" hidden="1"/>
    <col min="6944" max="6946" width="11.42578125" style="77" hidden="1"/>
    <col min="6947" max="6947" width="18.7109375" style="77" hidden="1"/>
    <col min="6948" max="6948" width="18.85546875" style="77" hidden="1"/>
    <col min="6949" max="6951" width="11.42578125" style="77" hidden="1"/>
    <col min="6952" max="6952" width="30.7109375" style="77" hidden="1"/>
    <col min="6953" max="7160" width="11.42578125" style="77" hidden="1"/>
    <col min="7161" max="7161" width="12.5703125" style="77" hidden="1"/>
    <col min="7162" max="7169" width="5.28515625" style="77" hidden="1"/>
    <col min="7170" max="7170" width="8" style="77" hidden="1"/>
    <col min="7171" max="7171" width="4" style="77" hidden="1"/>
    <col min="7172" max="7172" width="39.42578125" style="77" hidden="1"/>
    <col min="7173" max="7186" width="5.28515625" style="77" hidden="1"/>
    <col min="7187" max="7187" width="10.85546875" style="77" hidden="1"/>
    <col min="7188" max="7188" width="10.140625" style="77" hidden="1"/>
    <col min="7189" max="7189" width="10.5703125" style="77" hidden="1"/>
    <col min="7190" max="7190" width="9.5703125" style="77" hidden="1"/>
    <col min="7191" max="7191" width="5.42578125" style="77" hidden="1"/>
    <col min="7192" max="7192" width="9.28515625" style="77" hidden="1"/>
    <col min="7193" max="7193" width="8.28515625" style="77" hidden="1"/>
    <col min="7194" max="7194" width="9.140625" style="77" hidden="1"/>
    <col min="7195" max="7195" width="11.42578125" style="77" hidden="1"/>
    <col min="7196" max="7199" width="9.28515625" style="77" hidden="1"/>
    <col min="7200" max="7202" width="11.42578125" style="77" hidden="1"/>
    <col min="7203" max="7203" width="18.7109375" style="77" hidden="1"/>
    <col min="7204" max="7204" width="18.85546875" style="77" hidden="1"/>
    <col min="7205" max="7207" width="11.42578125" style="77" hidden="1"/>
    <col min="7208" max="7208" width="30.7109375" style="77" hidden="1"/>
    <col min="7209" max="7416" width="11.42578125" style="77" hidden="1"/>
    <col min="7417" max="7417" width="12.5703125" style="77" hidden="1"/>
    <col min="7418" max="7425" width="5.28515625" style="77" hidden="1"/>
    <col min="7426" max="7426" width="8" style="77" hidden="1"/>
    <col min="7427" max="7427" width="4" style="77" hidden="1"/>
    <col min="7428" max="7428" width="39.42578125" style="77" hidden="1"/>
    <col min="7429" max="7442" width="5.28515625" style="77" hidden="1"/>
    <col min="7443" max="7443" width="10.85546875" style="77" hidden="1"/>
    <col min="7444" max="7444" width="10.140625" style="77" hidden="1"/>
    <col min="7445" max="7445" width="10.5703125" style="77" hidden="1"/>
    <col min="7446" max="7446" width="9.5703125" style="77" hidden="1"/>
    <col min="7447" max="7447" width="5.42578125" style="77" hidden="1"/>
    <col min="7448" max="7448" width="9.28515625" style="77" hidden="1"/>
    <col min="7449" max="7449" width="8.28515625" style="77" hidden="1"/>
    <col min="7450" max="7450" width="9.140625" style="77" hidden="1"/>
    <col min="7451" max="7451" width="11.42578125" style="77" hidden="1"/>
    <col min="7452" max="7455" width="9.28515625" style="77" hidden="1"/>
    <col min="7456" max="7458" width="11.42578125" style="77" hidden="1"/>
    <col min="7459" max="7459" width="18.7109375" style="77" hidden="1"/>
    <col min="7460" max="7460" width="18.85546875" style="77" hidden="1"/>
    <col min="7461" max="7463" width="11.42578125" style="77" hidden="1"/>
    <col min="7464" max="7464" width="30.7109375" style="77" hidden="1"/>
    <col min="7465" max="7672" width="11.42578125" style="77" hidden="1"/>
    <col min="7673" max="7673" width="12.5703125" style="77" hidden="1"/>
    <col min="7674" max="7681" width="5.28515625" style="77" hidden="1"/>
    <col min="7682" max="7682" width="8" style="77" hidden="1"/>
    <col min="7683" max="7683" width="4" style="77" hidden="1"/>
    <col min="7684" max="7684" width="39.42578125" style="77" hidden="1"/>
    <col min="7685" max="7698" width="5.28515625" style="77" hidden="1"/>
    <col min="7699" max="7699" width="10.85546875" style="77" hidden="1"/>
    <col min="7700" max="7700" width="10.140625" style="77" hidden="1"/>
    <col min="7701" max="7701" width="10.5703125" style="77" hidden="1"/>
    <col min="7702" max="7702" width="9.5703125" style="77" hidden="1"/>
    <col min="7703" max="7703" width="5.42578125" style="77" hidden="1"/>
    <col min="7704" max="7704" width="9.28515625" style="77" hidden="1"/>
    <col min="7705" max="7705" width="8.28515625" style="77" hidden="1"/>
    <col min="7706" max="7706" width="9.140625" style="77" hidden="1"/>
    <col min="7707" max="7707" width="11.42578125" style="77" hidden="1"/>
    <col min="7708" max="7711" width="9.28515625" style="77" hidden="1"/>
    <col min="7712" max="7714" width="11.42578125" style="77" hidden="1"/>
    <col min="7715" max="7715" width="18.7109375" style="77" hidden="1"/>
    <col min="7716" max="7716" width="18.85546875" style="77" hidden="1"/>
    <col min="7717" max="7719" width="11.42578125" style="77" hidden="1"/>
    <col min="7720" max="7720" width="30.7109375" style="77" hidden="1"/>
    <col min="7721" max="7928" width="11.42578125" style="77" hidden="1"/>
    <col min="7929" max="7929" width="12.5703125" style="77" hidden="1"/>
    <col min="7930" max="7937" width="5.28515625" style="77" hidden="1"/>
    <col min="7938" max="7938" width="8" style="77" hidden="1"/>
    <col min="7939" max="7939" width="4" style="77" hidden="1"/>
    <col min="7940" max="7940" width="39.42578125" style="77" hidden="1"/>
    <col min="7941" max="7954" width="5.28515625" style="77" hidden="1"/>
    <col min="7955" max="7955" width="10.85546875" style="77" hidden="1"/>
    <col min="7956" max="7956" width="10.140625" style="77" hidden="1"/>
    <col min="7957" max="7957" width="10.5703125" style="77" hidden="1"/>
    <col min="7958" max="7958" width="9.5703125" style="77" hidden="1"/>
    <col min="7959" max="7959" width="5.42578125" style="77" hidden="1"/>
    <col min="7960" max="7960" width="9.28515625" style="77" hidden="1"/>
    <col min="7961" max="7961" width="8.28515625" style="77" hidden="1"/>
    <col min="7962" max="7962" width="9.140625" style="77" hidden="1"/>
    <col min="7963" max="7963" width="11.42578125" style="77" hidden="1"/>
    <col min="7964" max="7967" width="9.28515625" style="77" hidden="1"/>
    <col min="7968" max="7970" width="11.42578125" style="77" hidden="1"/>
    <col min="7971" max="7971" width="18.7109375" style="77" hidden="1"/>
    <col min="7972" max="7972" width="18.85546875" style="77" hidden="1"/>
    <col min="7973" max="7975" width="11.42578125" style="77" hidden="1"/>
    <col min="7976" max="7976" width="30.7109375" style="77" hidden="1"/>
    <col min="7977" max="8184" width="11.42578125" style="77" hidden="1"/>
    <col min="8185" max="8185" width="12.5703125" style="77" hidden="1"/>
    <col min="8186" max="8193" width="5.28515625" style="77" hidden="1"/>
    <col min="8194" max="8194" width="8" style="77" hidden="1"/>
    <col min="8195" max="8195" width="4" style="77" hidden="1"/>
    <col min="8196" max="8196" width="39.42578125" style="77" hidden="1"/>
    <col min="8197" max="8210" width="5.28515625" style="77" hidden="1"/>
    <col min="8211" max="8211" width="10.85546875" style="77" hidden="1"/>
    <col min="8212" max="8212" width="10.140625" style="77" hidden="1"/>
    <col min="8213" max="8213" width="10.5703125" style="77" hidden="1"/>
    <col min="8214" max="8214" width="9.5703125" style="77" hidden="1"/>
    <col min="8215" max="8215" width="5.42578125" style="77" hidden="1"/>
    <col min="8216" max="8216" width="9.28515625" style="77" hidden="1"/>
    <col min="8217" max="8217" width="8.28515625" style="77" hidden="1"/>
    <col min="8218" max="8218" width="9.140625" style="77" hidden="1"/>
    <col min="8219" max="8219" width="11.42578125" style="77" hidden="1"/>
    <col min="8220" max="8223" width="9.28515625" style="77" hidden="1"/>
    <col min="8224" max="8226" width="11.42578125" style="77" hidden="1"/>
    <col min="8227" max="8227" width="18.7109375" style="77" hidden="1"/>
    <col min="8228" max="8228" width="18.85546875" style="77" hidden="1"/>
    <col min="8229" max="8231" width="11.42578125" style="77" hidden="1"/>
    <col min="8232" max="8232" width="30.7109375" style="77" hidden="1"/>
    <col min="8233" max="8440" width="11.42578125" style="77" hidden="1"/>
    <col min="8441" max="8441" width="12.5703125" style="77" hidden="1"/>
    <col min="8442" max="8449" width="5.28515625" style="77" hidden="1"/>
    <col min="8450" max="8450" width="8" style="77" hidden="1"/>
    <col min="8451" max="8451" width="4" style="77" hidden="1"/>
    <col min="8452" max="8452" width="39.42578125" style="77" hidden="1"/>
    <col min="8453" max="8466" width="5.28515625" style="77" hidden="1"/>
    <col min="8467" max="8467" width="10.85546875" style="77" hidden="1"/>
    <col min="8468" max="8468" width="10.140625" style="77" hidden="1"/>
    <col min="8469" max="8469" width="10.5703125" style="77" hidden="1"/>
    <col min="8470" max="8470" width="9.5703125" style="77" hidden="1"/>
    <col min="8471" max="8471" width="5.42578125" style="77" hidden="1"/>
    <col min="8472" max="8472" width="9.28515625" style="77" hidden="1"/>
    <col min="8473" max="8473" width="8.28515625" style="77" hidden="1"/>
    <col min="8474" max="8474" width="9.140625" style="77" hidden="1"/>
    <col min="8475" max="8475" width="11.42578125" style="77" hidden="1"/>
    <col min="8476" max="8479" width="9.28515625" style="77" hidden="1"/>
    <col min="8480" max="8482" width="11.42578125" style="77" hidden="1"/>
    <col min="8483" max="8483" width="18.7109375" style="77" hidden="1"/>
    <col min="8484" max="8484" width="18.85546875" style="77" hidden="1"/>
    <col min="8485" max="8487" width="11.42578125" style="77" hidden="1"/>
    <col min="8488" max="8488" width="30.7109375" style="77" hidden="1"/>
    <col min="8489" max="8696" width="11.42578125" style="77" hidden="1"/>
    <col min="8697" max="8697" width="12.5703125" style="77" hidden="1"/>
    <col min="8698" max="8705" width="5.28515625" style="77" hidden="1"/>
    <col min="8706" max="8706" width="8" style="77" hidden="1"/>
    <col min="8707" max="8707" width="4" style="77" hidden="1"/>
    <col min="8708" max="8708" width="39.42578125" style="77" hidden="1"/>
    <col min="8709" max="8722" width="5.28515625" style="77" hidden="1"/>
    <col min="8723" max="8723" width="10.85546875" style="77" hidden="1"/>
    <col min="8724" max="8724" width="10.140625" style="77" hidden="1"/>
    <col min="8725" max="8725" width="10.5703125" style="77" hidden="1"/>
    <col min="8726" max="8726" width="9.5703125" style="77" hidden="1"/>
    <col min="8727" max="8727" width="5.42578125" style="77" hidden="1"/>
    <col min="8728" max="8728" width="9.28515625" style="77" hidden="1"/>
    <col min="8729" max="8729" width="8.28515625" style="77" hidden="1"/>
    <col min="8730" max="8730" width="9.140625" style="77" hidden="1"/>
    <col min="8731" max="8731" width="11.42578125" style="77" hidden="1"/>
    <col min="8732" max="8735" width="9.28515625" style="77" hidden="1"/>
    <col min="8736" max="8738" width="11.42578125" style="77" hidden="1"/>
    <col min="8739" max="8739" width="18.7109375" style="77" hidden="1"/>
    <col min="8740" max="8740" width="18.85546875" style="77" hidden="1"/>
    <col min="8741" max="8743" width="11.42578125" style="77" hidden="1"/>
    <col min="8744" max="8744" width="30.7109375" style="77" hidden="1"/>
    <col min="8745" max="8952" width="11.42578125" style="77" hidden="1"/>
    <col min="8953" max="8953" width="12.5703125" style="77" hidden="1"/>
    <col min="8954" max="8961" width="5.28515625" style="77" hidden="1"/>
    <col min="8962" max="8962" width="8" style="77" hidden="1"/>
    <col min="8963" max="8963" width="4" style="77" hidden="1"/>
    <col min="8964" max="8964" width="39.42578125" style="77" hidden="1"/>
    <col min="8965" max="8978" width="5.28515625" style="77" hidden="1"/>
    <col min="8979" max="8979" width="10.85546875" style="77" hidden="1"/>
    <col min="8980" max="8980" width="10.140625" style="77" hidden="1"/>
    <col min="8981" max="8981" width="10.5703125" style="77" hidden="1"/>
    <col min="8982" max="8982" width="9.5703125" style="77" hidden="1"/>
    <col min="8983" max="8983" width="5.42578125" style="77" hidden="1"/>
    <col min="8984" max="8984" width="9.28515625" style="77" hidden="1"/>
    <col min="8985" max="8985" width="8.28515625" style="77" hidden="1"/>
    <col min="8986" max="8986" width="9.140625" style="77" hidden="1"/>
    <col min="8987" max="8987" width="11.42578125" style="77" hidden="1"/>
    <col min="8988" max="8991" width="9.28515625" style="77" hidden="1"/>
    <col min="8992" max="8994" width="11.42578125" style="77" hidden="1"/>
    <col min="8995" max="8995" width="18.7109375" style="77" hidden="1"/>
    <col min="8996" max="8996" width="18.85546875" style="77" hidden="1"/>
    <col min="8997" max="8999" width="11.42578125" style="77" hidden="1"/>
    <col min="9000" max="9000" width="30.7109375" style="77" hidden="1"/>
    <col min="9001" max="9208" width="11.42578125" style="77" hidden="1"/>
    <col min="9209" max="9209" width="12.5703125" style="77" hidden="1"/>
    <col min="9210" max="9217" width="5.28515625" style="77" hidden="1"/>
    <col min="9218" max="9218" width="8" style="77" hidden="1"/>
    <col min="9219" max="9219" width="4" style="77" hidden="1"/>
    <col min="9220" max="9220" width="39.42578125" style="77" hidden="1"/>
    <col min="9221" max="9234" width="5.28515625" style="77" hidden="1"/>
    <col min="9235" max="9235" width="10.85546875" style="77" hidden="1"/>
    <col min="9236" max="9236" width="10.140625" style="77" hidden="1"/>
    <col min="9237" max="9237" width="10.5703125" style="77" hidden="1"/>
    <col min="9238" max="9238" width="9.5703125" style="77" hidden="1"/>
    <col min="9239" max="9239" width="5.42578125" style="77" hidden="1"/>
    <col min="9240" max="9240" width="9.28515625" style="77" hidden="1"/>
    <col min="9241" max="9241" width="8.28515625" style="77" hidden="1"/>
    <col min="9242" max="9242" width="9.140625" style="77" hidden="1"/>
    <col min="9243" max="9243" width="11.42578125" style="77" hidden="1"/>
    <col min="9244" max="9247" width="9.28515625" style="77" hidden="1"/>
    <col min="9248" max="9250" width="11.42578125" style="77" hidden="1"/>
    <col min="9251" max="9251" width="18.7109375" style="77" hidden="1"/>
    <col min="9252" max="9252" width="18.85546875" style="77" hidden="1"/>
    <col min="9253" max="9255" width="11.42578125" style="77" hidden="1"/>
    <col min="9256" max="9256" width="30.7109375" style="77" hidden="1"/>
    <col min="9257" max="9464" width="11.42578125" style="77" hidden="1"/>
    <col min="9465" max="9465" width="12.5703125" style="77" hidden="1"/>
    <col min="9466" max="9473" width="5.28515625" style="77" hidden="1"/>
    <col min="9474" max="9474" width="8" style="77" hidden="1"/>
    <col min="9475" max="9475" width="4" style="77" hidden="1"/>
    <col min="9476" max="9476" width="39.42578125" style="77" hidden="1"/>
    <col min="9477" max="9490" width="5.28515625" style="77" hidden="1"/>
    <col min="9491" max="9491" width="10.85546875" style="77" hidden="1"/>
    <col min="9492" max="9492" width="10.140625" style="77" hidden="1"/>
    <col min="9493" max="9493" width="10.5703125" style="77" hidden="1"/>
    <col min="9494" max="9494" width="9.5703125" style="77" hidden="1"/>
    <col min="9495" max="9495" width="5.42578125" style="77" hidden="1"/>
    <col min="9496" max="9496" width="9.28515625" style="77" hidden="1"/>
    <col min="9497" max="9497" width="8.28515625" style="77" hidden="1"/>
    <col min="9498" max="9498" width="9.140625" style="77" hidden="1"/>
    <col min="9499" max="9499" width="11.42578125" style="77" hidden="1"/>
    <col min="9500" max="9503" width="9.28515625" style="77" hidden="1"/>
    <col min="9504" max="9506" width="11.42578125" style="77" hidden="1"/>
    <col min="9507" max="9507" width="18.7109375" style="77" hidden="1"/>
    <col min="9508" max="9508" width="18.85546875" style="77" hidden="1"/>
    <col min="9509" max="9511" width="11.42578125" style="77" hidden="1"/>
    <col min="9512" max="9512" width="30.7109375" style="77" hidden="1"/>
    <col min="9513" max="9720" width="11.42578125" style="77" hidden="1"/>
    <col min="9721" max="9721" width="12.5703125" style="77" hidden="1"/>
    <col min="9722" max="9729" width="5.28515625" style="77" hidden="1"/>
    <col min="9730" max="9730" width="8" style="77" hidden="1"/>
    <col min="9731" max="9731" width="4" style="77" hidden="1"/>
    <col min="9732" max="9732" width="39.42578125" style="77" hidden="1"/>
    <col min="9733" max="9746" width="5.28515625" style="77" hidden="1"/>
    <col min="9747" max="9747" width="10.85546875" style="77" hidden="1"/>
    <col min="9748" max="9748" width="10.140625" style="77" hidden="1"/>
    <col min="9749" max="9749" width="10.5703125" style="77" hidden="1"/>
    <col min="9750" max="9750" width="9.5703125" style="77" hidden="1"/>
    <col min="9751" max="9751" width="5.42578125" style="77" hidden="1"/>
    <col min="9752" max="9752" width="9.28515625" style="77" hidden="1"/>
    <col min="9753" max="9753" width="8.28515625" style="77" hidden="1"/>
    <col min="9754" max="9754" width="9.140625" style="77" hidden="1"/>
    <col min="9755" max="9755" width="11.42578125" style="77" hidden="1"/>
    <col min="9756" max="9759" width="9.28515625" style="77" hidden="1"/>
    <col min="9760" max="9762" width="11.42578125" style="77" hidden="1"/>
    <col min="9763" max="9763" width="18.7109375" style="77" hidden="1"/>
    <col min="9764" max="9764" width="18.85546875" style="77" hidden="1"/>
    <col min="9765" max="9767" width="11.42578125" style="77" hidden="1"/>
    <col min="9768" max="9768" width="30.7109375" style="77" hidden="1"/>
    <col min="9769" max="9976" width="11.42578125" style="77" hidden="1"/>
    <col min="9977" max="9977" width="12.5703125" style="77" hidden="1"/>
    <col min="9978" max="9985" width="5.28515625" style="77" hidden="1"/>
    <col min="9986" max="9986" width="8" style="77" hidden="1"/>
    <col min="9987" max="9987" width="4" style="77" hidden="1"/>
    <col min="9988" max="9988" width="39.42578125" style="77" hidden="1"/>
    <col min="9989" max="10002" width="5.28515625" style="77" hidden="1"/>
    <col min="10003" max="10003" width="10.85546875" style="77" hidden="1"/>
    <col min="10004" max="10004" width="10.140625" style="77" hidden="1"/>
    <col min="10005" max="10005" width="10.5703125" style="77" hidden="1"/>
    <col min="10006" max="10006" width="9.5703125" style="77" hidden="1"/>
    <col min="10007" max="10007" width="5.42578125" style="77" hidden="1"/>
    <col min="10008" max="10008" width="9.28515625" style="77" hidden="1"/>
    <col min="10009" max="10009" width="8.28515625" style="77" hidden="1"/>
    <col min="10010" max="10010" width="9.140625" style="77" hidden="1"/>
    <col min="10011" max="10011" width="11.42578125" style="77" hidden="1"/>
    <col min="10012" max="10015" width="9.28515625" style="77" hidden="1"/>
    <col min="10016" max="10018" width="11.42578125" style="77" hidden="1"/>
    <col min="10019" max="10019" width="18.7109375" style="77" hidden="1"/>
    <col min="10020" max="10020" width="18.85546875" style="77" hidden="1"/>
    <col min="10021" max="10023" width="11.42578125" style="77" hidden="1"/>
    <col min="10024" max="10024" width="30.7109375" style="77" hidden="1"/>
    <col min="10025" max="10232" width="11.42578125" style="77" hidden="1"/>
    <col min="10233" max="10233" width="12.5703125" style="77" hidden="1"/>
    <col min="10234" max="10241" width="5.28515625" style="77" hidden="1"/>
    <col min="10242" max="10242" width="8" style="77" hidden="1"/>
    <col min="10243" max="10243" width="4" style="77" hidden="1"/>
    <col min="10244" max="10244" width="39.42578125" style="77" hidden="1"/>
    <col min="10245" max="10258" width="5.28515625" style="77" hidden="1"/>
    <col min="10259" max="10259" width="10.85546875" style="77" hidden="1"/>
    <col min="10260" max="10260" width="10.140625" style="77" hidden="1"/>
    <col min="10261" max="10261" width="10.5703125" style="77" hidden="1"/>
    <col min="10262" max="10262" width="9.5703125" style="77" hidden="1"/>
    <col min="10263" max="10263" width="5.42578125" style="77" hidden="1"/>
    <col min="10264" max="10264" width="9.28515625" style="77" hidden="1"/>
    <col min="10265" max="10265" width="8.28515625" style="77" hidden="1"/>
    <col min="10266" max="10266" width="9.140625" style="77" hidden="1"/>
    <col min="10267" max="10267" width="11.42578125" style="77" hidden="1"/>
    <col min="10268" max="10271" width="9.28515625" style="77" hidden="1"/>
    <col min="10272" max="10274" width="11.42578125" style="77" hidden="1"/>
    <col min="10275" max="10275" width="18.7109375" style="77" hidden="1"/>
    <col min="10276" max="10276" width="18.85546875" style="77" hidden="1"/>
    <col min="10277" max="10279" width="11.42578125" style="77" hidden="1"/>
    <col min="10280" max="10280" width="30.7109375" style="77" hidden="1"/>
    <col min="10281" max="10488" width="11.42578125" style="77" hidden="1"/>
    <col min="10489" max="10489" width="12.5703125" style="77" hidden="1"/>
    <col min="10490" max="10497" width="5.28515625" style="77" hidden="1"/>
    <col min="10498" max="10498" width="8" style="77" hidden="1"/>
    <col min="10499" max="10499" width="4" style="77" hidden="1"/>
    <col min="10500" max="10500" width="39.42578125" style="77" hidden="1"/>
    <col min="10501" max="10514" width="5.28515625" style="77" hidden="1"/>
    <col min="10515" max="10515" width="10.85546875" style="77" hidden="1"/>
    <col min="10516" max="10516" width="10.140625" style="77" hidden="1"/>
    <col min="10517" max="10517" width="10.5703125" style="77" hidden="1"/>
    <col min="10518" max="10518" width="9.5703125" style="77" hidden="1"/>
    <col min="10519" max="10519" width="5.42578125" style="77" hidden="1"/>
    <col min="10520" max="10520" width="9.28515625" style="77" hidden="1"/>
    <col min="10521" max="10521" width="8.28515625" style="77" hidden="1"/>
    <col min="10522" max="10522" width="9.140625" style="77" hidden="1"/>
    <col min="10523" max="10523" width="11.42578125" style="77" hidden="1"/>
    <col min="10524" max="10527" width="9.28515625" style="77" hidden="1"/>
    <col min="10528" max="10530" width="11.42578125" style="77" hidden="1"/>
    <col min="10531" max="10531" width="18.7109375" style="77" hidden="1"/>
    <col min="10532" max="10532" width="18.85546875" style="77" hidden="1"/>
    <col min="10533" max="10535" width="11.42578125" style="77" hidden="1"/>
    <col min="10536" max="10536" width="30.7109375" style="77" hidden="1"/>
    <col min="10537" max="10744" width="11.42578125" style="77" hidden="1"/>
    <col min="10745" max="10745" width="12.5703125" style="77" hidden="1"/>
    <col min="10746" max="10753" width="5.28515625" style="77" hidden="1"/>
    <col min="10754" max="10754" width="8" style="77" hidden="1"/>
    <col min="10755" max="10755" width="4" style="77" hidden="1"/>
    <col min="10756" max="10756" width="39.42578125" style="77" hidden="1"/>
    <col min="10757" max="10770" width="5.28515625" style="77" hidden="1"/>
    <col min="10771" max="10771" width="10.85546875" style="77" hidden="1"/>
    <col min="10772" max="10772" width="10.140625" style="77" hidden="1"/>
    <col min="10773" max="10773" width="10.5703125" style="77" hidden="1"/>
    <col min="10774" max="10774" width="9.5703125" style="77" hidden="1"/>
    <col min="10775" max="10775" width="5.42578125" style="77" hidden="1"/>
    <col min="10776" max="10776" width="9.28515625" style="77" hidden="1"/>
    <col min="10777" max="10777" width="8.28515625" style="77" hidden="1"/>
    <col min="10778" max="10778" width="9.140625" style="77" hidden="1"/>
    <col min="10779" max="10779" width="11.42578125" style="77" hidden="1"/>
    <col min="10780" max="10783" width="9.28515625" style="77" hidden="1"/>
    <col min="10784" max="10786" width="11.42578125" style="77" hidden="1"/>
    <col min="10787" max="10787" width="18.7109375" style="77" hidden="1"/>
    <col min="10788" max="10788" width="18.85546875" style="77" hidden="1"/>
    <col min="10789" max="10791" width="11.42578125" style="77" hidden="1"/>
    <col min="10792" max="10792" width="30.7109375" style="77" hidden="1"/>
    <col min="10793" max="11000" width="11.42578125" style="77" hidden="1"/>
    <col min="11001" max="11001" width="12.5703125" style="77" hidden="1"/>
    <col min="11002" max="11009" width="5.28515625" style="77" hidden="1"/>
    <col min="11010" max="11010" width="8" style="77" hidden="1"/>
    <col min="11011" max="11011" width="4" style="77" hidden="1"/>
    <col min="11012" max="11012" width="39.42578125" style="77" hidden="1"/>
    <col min="11013" max="11026" width="5.28515625" style="77" hidden="1"/>
    <col min="11027" max="11027" width="10.85546875" style="77" hidden="1"/>
    <col min="11028" max="11028" width="10.140625" style="77" hidden="1"/>
    <col min="11029" max="11029" width="10.5703125" style="77" hidden="1"/>
    <col min="11030" max="11030" width="9.5703125" style="77" hidden="1"/>
    <col min="11031" max="11031" width="5.42578125" style="77" hidden="1"/>
    <col min="11032" max="11032" width="9.28515625" style="77" hidden="1"/>
    <col min="11033" max="11033" width="8.28515625" style="77" hidden="1"/>
    <col min="11034" max="11034" width="9.140625" style="77" hidden="1"/>
    <col min="11035" max="11035" width="11.42578125" style="77" hidden="1"/>
    <col min="11036" max="11039" width="9.28515625" style="77" hidden="1"/>
    <col min="11040" max="11042" width="11.42578125" style="77" hidden="1"/>
    <col min="11043" max="11043" width="18.7109375" style="77" hidden="1"/>
    <col min="11044" max="11044" width="18.85546875" style="77" hidden="1"/>
    <col min="11045" max="11047" width="11.42578125" style="77" hidden="1"/>
    <col min="11048" max="11048" width="30.7109375" style="77" hidden="1"/>
    <col min="11049" max="11256" width="11.42578125" style="77" hidden="1"/>
    <col min="11257" max="11257" width="12.5703125" style="77" hidden="1"/>
    <col min="11258" max="11265" width="5.28515625" style="77" hidden="1"/>
    <col min="11266" max="11266" width="8" style="77" hidden="1"/>
    <col min="11267" max="11267" width="4" style="77" hidden="1"/>
    <col min="11268" max="11268" width="39.42578125" style="77" hidden="1"/>
    <col min="11269" max="11282" width="5.28515625" style="77" hidden="1"/>
    <col min="11283" max="11283" width="10.85546875" style="77" hidden="1"/>
    <col min="11284" max="11284" width="10.140625" style="77" hidden="1"/>
    <col min="11285" max="11285" width="10.5703125" style="77" hidden="1"/>
    <col min="11286" max="11286" width="9.5703125" style="77" hidden="1"/>
    <col min="11287" max="11287" width="5.42578125" style="77" hidden="1"/>
    <col min="11288" max="11288" width="9.28515625" style="77" hidden="1"/>
    <col min="11289" max="11289" width="8.28515625" style="77" hidden="1"/>
    <col min="11290" max="11290" width="9.140625" style="77" hidden="1"/>
    <col min="11291" max="11291" width="11.42578125" style="77" hidden="1"/>
    <col min="11292" max="11295" width="9.28515625" style="77" hidden="1"/>
    <col min="11296" max="11298" width="11.42578125" style="77" hidden="1"/>
    <col min="11299" max="11299" width="18.7109375" style="77" hidden="1"/>
    <col min="11300" max="11300" width="18.85546875" style="77" hidden="1"/>
    <col min="11301" max="11303" width="11.42578125" style="77" hidden="1"/>
    <col min="11304" max="11304" width="30.7109375" style="77" hidden="1"/>
    <col min="11305" max="11512" width="11.42578125" style="77" hidden="1"/>
    <col min="11513" max="11513" width="12.5703125" style="77" hidden="1"/>
    <col min="11514" max="11521" width="5.28515625" style="77" hidden="1"/>
    <col min="11522" max="11522" width="8" style="77" hidden="1"/>
    <col min="11523" max="11523" width="4" style="77" hidden="1"/>
    <col min="11524" max="11524" width="39.42578125" style="77" hidden="1"/>
    <col min="11525" max="11538" width="5.28515625" style="77" hidden="1"/>
    <col min="11539" max="11539" width="10.85546875" style="77" hidden="1"/>
    <col min="11540" max="11540" width="10.140625" style="77" hidden="1"/>
    <col min="11541" max="11541" width="10.5703125" style="77" hidden="1"/>
    <col min="11542" max="11542" width="9.5703125" style="77" hidden="1"/>
    <col min="11543" max="11543" width="5.42578125" style="77" hidden="1"/>
    <col min="11544" max="11544" width="9.28515625" style="77" hidden="1"/>
    <col min="11545" max="11545" width="8.28515625" style="77" hidden="1"/>
    <col min="11546" max="11546" width="9.140625" style="77" hidden="1"/>
    <col min="11547" max="11547" width="11.42578125" style="77" hidden="1"/>
    <col min="11548" max="11551" width="9.28515625" style="77" hidden="1"/>
    <col min="11552" max="11554" width="11.42578125" style="77" hidden="1"/>
    <col min="11555" max="11555" width="18.7109375" style="77" hidden="1"/>
    <col min="11556" max="11556" width="18.85546875" style="77" hidden="1"/>
    <col min="11557" max="11559" width="11.42578125" style="77" hidden="1"/>
    <col min="11560" max="11560" width="30.7109375" style="77" hidden="1"/>
    <col min="11561" max="11768" width="11.42578125" style="77" hidden="1"/>
    <col min="11769" max="11769" width="12.5703125" style="77" hidden="1"/>
    <col min="11770" max="11777" width="5.28515625" style="77" hidden="1"/>
    <col min="11778" max="11778" width="8" style="77" hidden="1"/>
    <col min="11779" max="11779" width="4" style="77" hidden="1"/>
    <col min="11780" max="11780" width="39.42578125" style="77" hidden="1"/>
    <col min="11781" max="11794" width="5.28515625" style="77" hidden="1"/>
    <col min="11795" max="11795" width="10.85546875" style="77" hidden="1"/>
    <col min="11796" max="11796" width="10.140625" style="77" hidden="1"/>
    <col min="11797" max="11797" width="10.5703125" style="77" hidden="1"/>
    <col min="11798" max="11798" width="9.5703125" style="77" hidden="1"/>
    <col min="11799" max="11799" width="5.42578125" style="77" hidden="1"/>
    <col min="11800" max="11800" width="9.28515625" style="77" hidden="1"/>
    <col min="11801" max="11801" width="8.28515625" style="77" hidden="1"/>
    <col min="11802" max="11802" width="9.140625" style="77" hidden="1"/>
    <col min="11803" max="11803" width="11.42578125" style="77" hidden="1"/>
    <col min="11804" max="11807" width="9.28515625" style="77" hidden="1"/>
    <col min="11808" max="11810" width="11.42578125" style="77" hidden="1"/>
    <col min="11811" max="11811" width="18.7109375" style="77" hidden="1"/>
    <col min="11812" max="11812" width="18.85546875" style="77" hidden="1"/>
    <col min="11813" max="11815" width="11.42578125" style="77" hidden="1"/>
    <col min="11816" max="11816" width="30.7109375" style="77" hidden="1"/>
    <col min="11817" max="12024" width="11.42578125" style="77" hidden="1"/>
    <col min="12025" max="12025" width="12.5703125" style="77" hidden="1"/>
    <col min="12026" max="12033" width="5.28515625" style="77" hidden="1"/>
    <col min="12034" max="12034" width="8" style="77" hidden="1"/>
    <col min="12035" max="12035" width="4" style="77" hidden="1"/>
    <col min="12036" max="12036" width="39.42578125" style="77" hidden="1"/>
    <col min="12037" max="12050" width="5.28515625" style="77" hidden="1"/>
    <col min="12051" max="12051" width="10.85546875" style="77" hidden="1"/>
    <col min="12052" max="12052" width="10.140625" style="77" hidden="1"/>
    <col min="12053" max="12053" width="10.5703125" style="77" hidden="1"/>
    <col min="12054" max="12054" width="9.5703125" style="77" hidden="1"/>
    <col min="12055" max="12055" width="5.42578125" style="77" hidden="1"/>
    <col min="12056" max="12056" width="9.28515625" style="77" hidden="1"/>
    <col min="12057" max="12057" width="8.28515625" style="77" hidden="1"/>
    <col min="12058" max="12058" width="9.140625" style="77" hidden="1"/>
    <col min="12059" max="12059" width="11.42578125" style="77" hidden="1"/>
    <col min="12060" max="12063" width="9.28515625" style="77" hidden="1"/>
    <col min="12064" max="12066" width="11.42578125" style="77" hidden="1"/>
    <col min="12067" max="12067" width="18.7109375" style="77" hidden="1"/>
    <col min="12068" max="12068" width="18.85546875" style="77" hidden="1"/>
    <col min="12069" max="12071" width="11.42578125" style="77" hidden="1"/>
    <col min="12072" max="12072" width="30.7109375" style="77" hidden="1"/>
    <col min="12073" max="12280" width="11.42578125" style="77" hidden="1"/>
    <col min="12281" max="12281" width="12.5703125" style="77" hidden="1"/>
    <col min="12282" max="12289" width="5.28515625" style="77" hidden="1"/>
    <col min="12290" max="12290" width="8" style="77" hidden="1"/>
    <col min="12291" max="12291" width="4" style="77" hidden="1"/>
    <col min="12292" max="12292" width="39.42578125" style="77" hidden="1"/>
    <col min="12293" max="12306" width="5.28515625" style="77" hidden="1"/>
    <col min="12307" max="12307" width="10.85546875" style="77" hidden="1"/>
    <col min="12308" max="12308" width="10.140625" style="77" hidden="1"/>
    <col min="12309" max="12309" width="10.5703125" style="77" hidden="1"/>
    <col min="12310" max="12310" width="9.5703125" style="77" hidden="1"/>
    <col min="12311" max="12311" width="5.42578125" style="77" hidden="1"/>
    <col min="12312" max="12312" width="9.28515625" style="77" hidden="1"/>
    <col min="12313" max="12313" width="8.28515625" style="77" hidden="1"/>
    <col min="12314" max="12314" width="9.140625" style="77" hidden="1"/>
    <col min="12315" max="12315" width="11.42578125" style="77" hidden="1"/>
    <col min="12316" max="12319" width="9.28515625" style="77" hidden="1"/>
    <col min="12320" max="12322" width="11.42578125" style="77" hidden="1"/>
    <col min="12323" max="12323" width="18.7109375" style="77" hidden="1"/>
    <col min="12324" max="12324" width="18.85546875" style="77" hidden="1"/>
    <col min="12325" max="12327" width="11.42578125" style="77" hidden="1"/>
    <col min="12328" max="12328" width="30.7109375" style="77" hidden="1"/>
    <col min="12329" max="12536" width="11.42578125" style="77" hidden="1"/>
    <col min="12537" max="12537" width="12.5703125" style="77" hidden="1"/>
    <col min="12538" max="12545" width="5.28515625" style="77" hidden="1"/>
    <col min="12546" max="12546" width="8" style="77" hidden="1"/>
    <col min="12547" max="12547" width="4" style="77" hidden="1"/>
    <col min="12548" max="12548" width="39.42578125" style="77" hidden="1"/>
    <col min="12549" max="12562" width="5.28515625" style="77" hidden="1"/>
    <col min="12563" max="12563" width="10.85546875" style="77" hidden="1"/>
    <col min="12564" max="12564" width="10.140625" style="77" hidden="1"/>
    <col min="12565" max="12565" width="10.5703125" style="77" hidden="1"/>
    <col min="12566" max="12566" width="9.5703125" style="77" hidden="1"/>
    <col min="12567" max="12567" width="5.42578125" style="77" hidden="1"/>
    <col min="12568" max="12568" width="9.28515625" style="77" hidden="1"/>
    <col min="12569" max="12569" width="8.28515625" style="77" hidden="1"/>
    <col min="12570" max="12570" width="9.140625" style="77" hidden="1"/>
    <col min="12571" max="12571" width="11.42578125" style="77" hidden="1"/>
    <col min="12572" max="12575" width="9.28515625" style="77" hidden="1"/>
    <col min="12576" max="12578" width="11.42578125" style="77" hidden="1"/>
    <col min="12579" max="12579" width="18.7109375" style="77" hidden="1"/>
    <col min="12580" max="12580" width="18.85546875" style="77" hidden="1"/>
    <col min="12581" max="12583" width="11.42578125" style="77" hidden="1"/>
    <col min="12584" max="12584" width="30.7109375" style="77" hidden="1"/>
    <col min="12585" max="12792" width="11.42578125" style="77" hidden="1"/>
    <col min="12793" max="12793" width="12.5703125" style="77" hidden="1"/>
    <col min="12794" max="12801" width="5.28515625" style="77" hidden="1"/>
    <col min="12802" max="12802" width="8" style="77" hidden="1"/>
    <col min="12803" max="12803" width="4" style="77" hidden="1"/>
    <col min="12804" max="12804" width="39.42578125" style="77" hidden="1"/>
    <col min="12805" max="12818" width="5.28515625" style="77" hidden="1"/>
    <col min="12819" max="12819" width="10.85546875" style="77" hidden="1"/>
    <col min="12820" max="12820" width="10.140625" style="77" hidden="1"/>
    <col min="12821" max="12821" width="10.5703125" style="77" hidden="1"/>
    <col min="12822" max="12822" width="9.5703125" style="77" hidden="1"/>
    <col min="12823" max="12823" width="5.42578125" style="77" hidden="1"/>
    <col min="12824" max="12824" width="9.28515625" style="77" hidden="1"/>
    <col min="12825" max="12825" width="8.28515625" style="77" hidden="1"/>
    <col min="12826" max="12826" width="9.140625" style="77" hidden="1"/>
    <col min="12827" max="12827" width="11.42578125" style="77" hidden="1"/>
    <col min="12828" max="12831" width="9.28515625" style="77" hidden="1"/>
    <col min="12832" max="12834" width="11.42578125" style="77" hidden="1"/>
    <col min="12835" max="12835" width="18.7109375" style="77" hidden="1"/>
    <col min="12836" max="12836" width="18.85546875" style="77" hidden="1"/>
    <col min="12837" max="12839" width="11.42578125" style="77" hidden="1"/>
    <col min="12840" max="12840" width="30.7109375" style="77" hidden="1"/>
    <col min="12841" max="13048" width="11.42578125" style="77" hidden="1"/>
    <col min="13049" max="13049" width="12.5703125" style="77" hidden="1"/>
    <col min="13050" max="13057" width="5.28515625" style="77" hidden="1"/>
    <col min="13058" max="13058" width="8" style="77" hidden="1"/>
    <col min="13059" max="13059" width="4" style="77" hidden="1"/>
    <col min="13060" max="13060" width="39.42578125" style="77" hidden="1"/>
    <col min="13061" max="13074" width="5.28515625" style="77" hidden="1"/>
    <col min="13075" max="13075" width="10.85546875" style="77" hidden="1"/>
    <col min="13076" max="13076" width="10.140625" style="77" hidden="1"/>
    <col min="13077" max="13077" width="10.5703125" style="77" hidden="1"/>
    <col min="13078" max="13078" width="9.5703125" style="77" hidden="1"/>
    <col min="13079" max="13079" width="5.42578125" style="77" hidden="1"/>
    <col min="13080" max="13080" width="9.28515625" style="77" hidden="1"/>
    <col min="13081" max="13081" width="8.28515625" style="77" hidden="1"/>
    <col min="13082" max="13082" width="9.140625" style="77" hidden="1"/>
    <col min="13083" max="13083" width="11.42578125" style="77" hidden="1"/>
    <col min="13084" max="13087" width="9.28515625" style="77" hidden="1"/>
    <col min="13088" max="13090" width="11.42578125" style="77" hidden="1"/>
    <col min="13091" max="13091" width="18.7109375" style="77" hidden="1"/>
    <col min="13092" max="13092" width="18.85546875" style="77" hidden="1"/>
    <col min="13093" max="13095" width="11.42578125" style="77" hidden="1"/>
    <col min="13096" max="13096" width="30.7109375" style="77" hidden="1"/>
    <col min="13097" max="13304" width="11.42578125" style="77" hidden="1"/>
    <col min="13305" max="13305" width="12.5703125" style="77" hidden="1"/>
    <col min="13306" max="13313" width="5.28515625" style="77" hidden="1"/>
    <col min="13314" max="13314" width="8" style="77" hidden="1"/>
    <col min="13315" max="13315" width="4" style="77" hidden="1"/>
    <col min="13316" max="13316" width="39.42578125" style="77" hidden="1"/>
    <col min="13317" max="13330" width="5.28515625" style="77" hidden="1"/>
    <col min="13331" max="13331" width="10.85546875" style="77" hidden="1"/>
    <col min="13332" max="13332" width="10.140625" style="77" hidden="1"/>
    <col min="13333" max="13333" width="10.5703125" style="77" hidden="1"/>
    <col min="13334" max="13334" width="9.5703125" style="77" hidden="1"/>
    <col min="13335" max="13335" width="5.42578125" style="77" hidden="1"/>
    <col min="13336" max="13336" width="9.28515625" style="77" hidden="1"/>
    <col min="13337" max="13337" width="8.28515625" style="77" hidden="1"/>
    <col min="13338" max="13338" width="9.140625" style="77" hidden="1"/>
    <col min="13339" max="13339" width="11.42578125" style="77" hidden="1"/>
    <col min="13340" max="13343" width="9.28515625" style="77" hidden="1"/>
    <col min="13344" max="13346" width="11.42578125" style="77" hidden="1"/>
    <col min="13347" max="13347" width="18.7109375" style="77" hidden="1"/>
    <col min="13348" max="13348" width="18.85546875" style="77" hidden="1"/>
    <col min="13349" max="13351" width="11.42578125" style="77" hidden="1"/>
    <col min="13352" max="13352" width="30.7109375" style="77" hidden="1"/>
    <col min="13353" max="13560" width="11.42578125" style="77" hidden="1"/>
    <col min="13561" max="13561" width="12.5703125" style="77" hidden="1"/>
    <col min="13562" max="13569" width="5.28515625" style="77" hidden="1"/>
    <col min="13570" max="13570" width="8" style="77" hidden="1"/>
    <col min="13571" max="13571" width="4" style="77" hidden="1"/>
    <col min="13572" max="13572" width="39.42578125" style="77" hidden="1"/>
    <col min="13573" max="13586" width="5.28515625" style="77" hidden="1"/>
    <col min="13587" max="13587" width="10.85546875" style="77" hidden="1"/>
    <col min="13588" max="13588" width="10.140625" style="77" hidden="1"/>
    <col min="13589" max="13589" width="10.5703125" style="77" hidden="1"/>
    <col min="13590" max="13590" width="9.5703125" style="77" hidden="1"/>
    <col min="13591" max="13591" width="5.42578125" style="77" hidden="1"/>
    <col min="13592" max="13592" width="9.28515625" style="77" hidden="1"/>
    <col min="13593" max="13593" width="8.28515625" style="77" hidden="1"/>
    <col min="13594" max="13594" width="9.140625" style="77" hidden="1"/>
    <col min="13595" max="13595" width="11.42578125" style="77" hidden="1"/>
    <col min="13596" max="13599" width="9.28515625" style="77" hidden="1"/>
    <col min="13600" max="13602" width="11.42578125" style="77" hidden="1"/>
    <col min="13603" max="13603" width="18.7109375" style="77" hidden="1"/>
    <col min="13604" max="13604" width="18.85546875" style="77" hidden="1"/>
    <col min="13605" max="13607" width="11.42578125" style="77" hidden="1"/>
    <col min="13608" max="13608" width="30.7109375" style="77" hidden="1"/>
    <col min="13609" max="13816" width="11.42578125" style="77" hidden="1"/>
    <col min="13817" max="13817" width="12.5703125" style="77" hidden="1"/>
    <col min="13818" max="13825" width="5.28515625" style="77" hidden="1"/>
    <col min="13826" max="13826" width="8" style="77" hidden="1"/>
    <col min="13827" max="13827" width="4" style="77" hidden="1"/>
    <col min="13828" max="13828" width="39.42578125" style="77" hidden="1"/>
    <col min="13829" max="13842" width="5.28515625" style="77" hidden="1"/>
    <col min="13843" max="13843" width="10.85546875" style="77" hidden="1"/>
    <col min="13844" max="13844" width="10.140625" style="77" hidden="1"/>
    <col min="13845" max="13845" width="10.5703125" style="77" hidden="1"/>
    <col min="13846" max="13846" width="9.5703125" style="77" hidden="1"/>
    <col min="13847" max="13847" width="5.42578125" style="77" hidden="1"/>
    <col min="13848" max="13848" width="9.28515625" style="77" hidden="1"/>
    <col min="13849" max="13849" width="8.28515625" style="77" hidden="1"/>
    <col min="13850" max="13850" width="9.140625" style="77" hidden="1"/>
    <col min="13851" max="13851" width="11.42578125" style="77" hidden="1"/>
    <col min="13852" max="13855" width="9.28515625" style="77" hidden="1"/>
    <col min="13856" max="13858" width="11.42578125" style="77" hidden="1"/>
    <col min="13859" max="13859" width="18.7109375" style="77" hidden="1"/>
    <col min="13860" max="13860" width="18.85546875" style="77" hidden="1"/>
    <col min="13861" max="13863" width="11.42578125" style="77" hidden="1"/>
    <col min="13864" max="13864" width="30.7109375" style="77" hidden="1"/>
    <col min="13865" max="14072" width="11.42578125" style="77" hidden="1"/>
    <col min="14073" max="14073" width="12.5703125" style="77" hidden="1"/>
    <col min="14074" max="14081" width="5.28515625" style="77" hidden="1"/>
    <col min="14082" max="14082" width="8" style="77" hidden="1"/>
    <col min="14083" max="14083" width="4" style="77" hidden="1"/>
    <col min="14084" max="14084" width="39.42578125" style="77" hidden="1"/>
    <col min="14085" max="14098" width="5.28515625" style="77" hidden="1"/>
    <col min="14099" max="14099" width="10.85546875" style="77" hidden="1"/>
    <col min="14100" max="14100" width="10.140625" style="77" hidden="1"/>
    <col min="14101" max="14101" width="10.5703125" style="77" hidden="1"/>
    <col min="14102" max="14102" width="9.5703125" style="77" hidden="1"/>
    <col min="14103" max="14103" width="5.42578125" style="77" hidden="1"/>
    <col min="14104" max="14104" width="9.28515625" style="77" hidden="1"/>
    <col min="14105" max="14105" width="8.28515625" style="77" hidden="1"/>
    <col min="14106" max="14106" width="9.140625" style="77" hidden="1"/>
    <col min="14107" max="14107" width="11.42578125" style="77" hidden="1"/>
    <col min="14108" max="14111" width="9.28515625" style="77" hidden="1"/>
    <col min="14112" max="14114" width="11.42578125" style="77" hidden="1"/>
    <col min="14115" max="14115" width="18.7109375" style="77" hidden="1"/>
    <col min="14116" max="14116" width="18.85546875" style="77" hidden="1"/>
    <col min="14117" max="14119" width="11.42578125" style="77" hidden="1"/>
    <col min="14120" max="14120" width="30.7109375" style="77" hidden="1"/>
    <col min="14121" max="14328" width="11.42578125" style="77" hidden="1"/>
    <col min="14329" max="14329" width="12.5703125" style="77" hidden="1"/>
    <col min="14330" max="14337" width="5.28515625" style="77" hidden="1"/>
    <col min="14338" max="14338" width="8" style="77" hidden="1"/>
    <col min="14339" max="14339" width="4" style="77" hidden="1"/>
    <col min="14340" max="14340" width="39.42578125" style="77" hidden="1"/>
    <col min="14341" max="14354" width="5.28515625" style="77" hidden="1"/>
    <col min="14355" max="14355" width="10.85546875" style="77" hidden="1"/>
    <col min="14356" max="14356" width="10.140625" style="77" hidden="1"/>
    <col min="14357" max="14357" width="10.5703125" style="77" hidden="1"/>
    <col min="14358" max="14358" width="9.5703125" style="77" hidden="1"/>
    <col min="14359" max="14359" width="5.42578125" style="77" hidden="1"/>
    <col min="14360" max="14360" width="9.28515625" style="77" hidden="1"/>
    <col min="14361" max="14361" width="8.28515625" style="77" hidden="1"/>
    <col min="14362" max="14362" width="9.140625" style="77" hidden="1"/>
    <col min="14363" max="14363" width="11.42578125" style="77" hidden="1"/>
    <col min="14364" max="14367" width="9.28515625" style="77" hidden="1"/>
    <col min="14368" max="14370" width="11.42578125" style="77" hidden="1"/>
    <col min="14371" max="14371" width="18.7109375" style="77" hidden="1"/>
    <col min="14372" max="14372" width="18.85546875" style="77" hidden="1"/>
    <col min="14373" max="14375" width="11.42578125" style="77" hidden="1"/>
    <col min="14376" max="14376" width="30.7109375" style="77" hidden="1"/>
    <col min="14377" max="14584" width="11.42578125" style="77" hidden="1"/>
    <col min="14585" max="14585" width="12.5703125" style="77" hidden="1"/>
    <col min="14586" max="14593" width="5.28515625" style="77" hidden="1"/>
    <col min="14594" max="14594" width="8" style="77" hidden="1"/>
    <col min="14595" max="14595" width="4" style="77" hidden="1"/>
    <col min="14596" max="14596" width="39.42578125" style="77" hidden="1"/>
    <col min="14597" max="14610" width="5.28515625" style="77" hidden="1"/>
    <col min="14611" max="14611" width="10.85546875" style="77" hidden="1"/>
    <col min="14612" max="14612" width="10.140625" style="77" hidden="1"/>
    <col min="14613" max="14613" width="10.5703125" style="77" hidden="1"/>
    <col min="14614" max="14614" width="9.5703125" style="77" hidden="1"/>
    <col min="14615" max="14615" width="5.42578125" style="77" hidden="1"/>
    <col min="14616" max="14616" width="9.28515625" style="77" hidden="1"/>
    <col min="14617" max="14617" width="8.28515625" style="77" hidden="1"/>
    <col min="14618" max="14618" width="9.140625" style="77" hidden="1"/>
    <col min="14619" max="14619" width="11.42578125" style="77" hidden="1"/>
    <col min="14620" max="14623" width="9.28515625" style="77" hidden="1"/>
    <col min="14624" max="14626" width="11.42578125" style="77" hidden="1"/>
    <col min="14627" max="14627" width="18.7109375" style="77" hidden="1"/>
    <col min="14628" max="14628" width="18.85546875" style="77" hidden="1"/>
    <col min="14629" max="14631" width="11.42578125" style="77" hidden="1"/>
    <col min="14632" max="14632" width="30.7109375" style="77" hidden="1"/>
    <col min="14633" max="14840" width="11.42578125" style="77" hidden="1"/>
    <col min="14841" max="14841" width="12.5703125" style="77" hidden="1"/>
    <col min="14842" max="14849" width="5.28515625" style="77" hidden="1"/>
    <col min="14850" max="14850" width="8" style="77" hidden="1"/>
    <col min="14851" max="14851" width="4" style="77" hidden="1"/>
    <col min="14852" max="14852" width="39.42578125" style="77" hidden="1"/>
    <col min="14853" max="14866" width="5.28515625" style="77" hidden="1"/>
    <col min="14867" max="14867" width="10.85546875" style="77" hidden="1"/>
    <col min="14868" max="14868" width="10.140625" style="77" hidden="1"/>
    <col min="14869" max="14869" width="10.5703125" style="77" hidden="1"/>
    <col min="14870" max="14870" width="9.5703125" style="77" hidden="1"/>
    <col min="14871" max="14871" width="5.42578125" style="77" hidden="1"/>
    <col min="14872" max="14872" width="9.28515625" style="77" hidden="1"/>
    <col min="14873" max="14873" width="8.28515625" style="77" hidden="1"/>
    <col min="14874" max="14874" width="9.140625" style="77" hidden="1"/>
    <col min="14875" max="14875" width="11.42578125" style="77" hidden="1"/>
    <col min="14876" max="14879" width="9.28515625" style="77" hidden="1"/>
    <col min="14880" max="14882" width="11.42578125" style="77" hidden="1"/>
    <col min="14883" max="14883" width="18.7109375" style="77" hidden="1"/>
    <col min="14884" max="14884" width="18.85546875" style="77" hidden="1"/>
    <col min="14885" max="14887" width="11.42578125" style="77" hidden="1"/>
    <col min="14888" max="14888" width="30.7109375" style="77" hidden="1"/>
    <col min="14889" max="15096" width="11.42578125" style="77" hidden="1"/>
    <col min="15097" max="15097" width="12.5703125" style="77" hidden="1"/>
    <col min="15098" max="15105" width="5.28515625" style="77" hidden="1"/>
    <col min="15106" max="15106" width="8" style="77" hidden="1"/>
    <col min="15107" max="15107" width="4" style="77" hidden="1"/>
    <col min="15108" max="15108" width="39.42578125" style="77" hidden="1"/>
    <col min="15109" max="15122" width="5.28515625" style="77" hidden="1"/>
    <col min="15123" max="15123" width="10.85546875" style="77" hidden="1"/>
    <col min="15124" max="15124" width="10.140625" style="77" hidden="1"/>
    <col min="15125" max="15125" width="10.5703125" style="77" hidden="1"/>
    <col min="15126" max="15126" width="9.5703125" style="77" hidden="1"/>
    <col min="15127" max="15127" width="5.42578125" style="77" hidden="1"/>
    <col min="15128" max="15128" width="9.28515625" style="77" hidden="1"/>
    <col min="15129" max="15129" width="8.28515625" style="77" hidden="1"/>
    <col min="15130" max="15130" width="9.140625" style="77" hidden="1"/>
    <col min="15131" max="15131" width="11.42578125" style="77" hidden="1"/>
    <col min="15132" max="15135" width="9.28515625" style="77" hidden="1"/>
    <col min="15136" max="15138" width="11.42578125" style="77" hidden="1"/>
    <col min="15139" max="15139" width="18.7109375" style="77" hidden="1"/>
    <col min="15140" max="15140" width="18.85546875" style="77" hidden="1"/>
    <col min="15141" max="15143" width="11.42578125" style="77" hidden="1"/>
    <col min="15144" max="15144" width="30.7109375" style="77" hidden="1"/>
    <col min="15145" max="15352" width="11.42578125" style="77" hidden="1"/>
    <col min="15353" max="15353" width="12.5703125" style="77" hidden="1"/>
    <col min="15354" max="15361" width="5.28515625" style="77" hidden="1"/>
    <col min="15362" max="15362" width="8" style="77" hidden="1"/>
    <col min="15363" max="15363" width="4" style="77" hidden="1"/>
    <col min="15364" max="15364" width="39.42578125" style="77" hidden="1"/>
    <col min="15365" max="15378" width="5.28515625" style="77" hidden="1"/>
    <col min="15379" max="15379" width="10.85546875" style="77" hidden="1"/>
    <col min="15380" max="15380" width="10.140625" style="77" hidden="1"/>
    <col min="15381" max="15381" width="10.5703125" style="77" hidden="1"/>
    <col min="15382" max="15382" width="9.5703125" style="77" hidden="1"/>
    <col min="15383" max="15383" width="5.42578125" style="77" hidden="1"/>
    <col min="15384" max="15384" width="9.28515625" style="77" hidden="1"/>
    <col min="15385" max="15385" width="8.28515625" style="77" hidden="1"/>
    <col min="15386" max="15386" width="9.140625" style="77" hidden="1"/>
    <col min="15387" max="15387" width="11.42578125" style="77" hidden="1"/>
    <col min="15388" max="15391" width="9.28515625" style="77" hidden="1"/>
    <col min="15392" max="15394" width="11.42578125" style="77" hidden="1"/>
    <col min="15395" max="15395" width="18.7109375" style="77" hidden="1"/>
    <col min="15396" max="15396" width="18.85546875" style="77" hidden="1"/>
    <col min="15397" max="15399" width="11.42578125" style="77" hidden="1"/>
    <col min="15400" max="15400" width="30.7109375" style="77" hidden="1"/>
    <col min="15401" max="15608" width="11.42578125" style="77" hidden="1"/>
    <col min="15609" max="15609" width="12.5703125" style="77" hidden="1"/>
    <col min="15610" max="15617" width="5.28515625" style="77" hidden="1"/>
    <col min="15618" max="15618" width="8" style="77" hidden="1"/>
    <col min="15619" max="15619" width="4" style="77" hidden="1"/>
    <col min="15620" max="15620" width="39.42578125" style="77" hidden="1"/>
    <col min="15621" max="15634" width="5.28515625" style="77" hidden="1"/>
    <col min="15635" max="15635" width="10.85546875" style="77" hidden="1"/>
    <col min="15636" max="15636" width="10.140625" style="77" hidden="1"/>
    <col min="15637" max="15637" width="10.5703125" style="77" hidden="1"/>
    <col min="15638" max="15638" width="9.5703125" style="77" hidden="1"/>
    <col min="15639" max="15639" width="5.42578125" style="77" hidden="1"/>
    <col min="15640" max="15640" width="9.28515625" style="77" hidden="1"/>
    <col min="15641" max="15641" width="8.28515625" style="77" hidden="1"/>
    <col min="15642" max="15642" width="9.140625" style="77" hidden="1"/>
    <col min="15643" max="15643" width="11.42578125" style="77" hidden="1"/>
    <col min="15644" max="15647" width="9.28515625" style="77" hidden="1"/>
    <col min="15648" max="15650" width="11.42578125" style="77" hidden="1"/>
    <col min="15651" max="15651" width="18.7109375" style="77" hidden="1"/>
    <col min="15652" max="15652" width="18.85546875" style="77" hidden="1"/>
    <col min="15653" max="15655" width="11.42578125" style="77" hidden="1"/>
    <col min="15656" max="15656" width="30.7109375" style="77" hidden="1"/>
    <col min="15657" max="15864" width="11.42578125" style="77" hidden="1"/>
    <col min="15865" max="15865" width="12.5703125" style="77" hidden="1"/>
    <col min="15866" max="15873" width="5.28515625" style="77" hidden="1"/>
    <col min="15874" max="15874" width="8" style="77" hidden="1"/>
    <col min="15875" max="15875" width="4" style="77" hidden="1"/>
    <col min="15876" max="15876" width="39.42578125" style="77" hidden="1"/>
    <col min="15877" max="15890" width="5.28515625" style="77" hidden="1"/>
    <col min="15891" max="15891" width="10.85546875" style="77" hidden="1"/>
    <col min="15892" max="15892" width="10.140625" style="77" hidden="1"/>
    <col min="15893" max="15893" width="10.5703125" style="77" hidden="1"/>
    <col min="15894" max="15894" width="9.5703125" style="77" hidden="1"/>
    <col min="15895" max="15895" width="5.42578125" style="77" hidden="1"/>
    <col min="15896" max="15896" width="9.28515625" style="77" hidden="1"/>
    <col min="15897" max="15897" width="8.28515625" style="77" hidden="1"/>
    <col min="15898" max="15898" width="9.140625" style="77" hidden="1"/>
    <col min="15899" max="15899" width="11.42578125" style="77" hidden="1"/>
    <col min="15900" max="15903" width="9.28515625" style="77" hidden="1"/>
    <col min="15904" max="15906" width="11.42578125" style="77" hidden="1"/>
    <col min="15907" max="15907" width="18.7109375" style="77" hidden="1"/>
    <col min="15908" max="15908" width="18.85546875" style="77" hidden="1"/>
    <col min="15909" max="15911" width="11.42578125" style="77" hidden="1"/>
    <col min="15912" max="15912" width="30.7109375" style="77" hidden="1"/>
    <col min="15913" max="16120" width="11.42578125" style="77" hidden="1"/>
    <col min="16121" max="16121" width="12.5703125" style="77" hidden="1"/>
    <col min="16122" max="16129" width="5.28515625" style="77" hidden="1"/>
    <col min="16130" max="16130" width="8" style="77" hidden="1"/>
    <col min="16131" max="16131" width="4" style="77" hidden="1"/>
    <col min="16132" max="16132" width="39.42578125" style="77" hidden="1"/>
    <col min="16133" max="16146" width="5.28515625" style="77" hidden="1"/>
    <col min="16147" max="16147" width="10.85546875" style="77" hidden="1"/>
    <col min="16148" max="16148" width="10.140625" style="77" hidden="1"/>
    <col min="16149" max="16149" width="10.5703125" style="77" hidden="1"/>
    <col min="16150" max="16150" width="9.5703125" style="77" hidden="1"/>
    <col min="16151" max="16151" width="5.42578125" style="77" hidden="1"/>
    <col min="16152" max="16152" width="9.28515625" style="77" hidden="1"/>
    <col min="16153" max="16153" width="8.28515625" style="77" hidden="1"/>
    <col min="16154" max="16154" width="9.140625" style="77" hidden="1"/>
    <col min="16155" max="16155" width="11.42578125" style="77" hidden="1"/>
    <col min="16156" max="16159" width="9.28515625" style="77" hidden="1"/>
    <col min="16160" max="16162" width="11.42578125" style="77" hidden="1"/>
    <col min="16163" max="16163" width="18.7109375" style="77" hidden="1"/>
    <col min="16164" max="16164" width="18.85546875" style="77" hidden="1"/>
    <col min="16165" max="16167" width="11.42578125" style="77" hidden="1"/>
    <col min="16168" max="16168" width="30.7109375" style="77" hidden="1"/>
    <col min="16169" max="16384" width="11.42578125" style="77" hidden="1"/>
  </cols>
  <sheetData>
    <row r="1" spans="1:37" x14ac:dyDescent="0.25">
      <c r="A1" s="108" t="s">
        <v>42</v>
      </c>
      <c r="B1" s="197"/>
      <c r="C1" s="103" t="s">
        <v>395</v>
      </c>
      <c r="D1" s="198" t="s">
        <v>273</v>
      </c>
      <c r="E1" s="259" t="s">
        <v>519</v>
      </c>
      <c r="F1" s="260"/>
      <c r="G1" s="260"/>
      <c r="H1" s="260"/>
      <c r="I1" s="260"/>
      <c r="J1" s="260"/>
      <c r="K1" s="260"/>
      <c r="L1" s="260"/>
      <c r="M1" s="260"/>
      <c r="N1" s="260"/>
      <c r="O1" s="260"/>
      <c r="P1" s="260"/>
      <c r="Q1" s="260"/>
      <c r="R1" s="260"/>
      <c r="S1" s="260"/>
      <c r="T1" s="260"/>
      <c r="U1" s="260"/>
      <c r="V1" s="260"/>
      <c r="W1" s="93"/>
      <c r="X1" s="93"/>
      <c r="Y1" s="93"/>
      <c r="Z1" s="93"/>
      <c r="AA1" s="93"/>
      <c r="AB1" s="93"/>
      <c r="AC1" s="94"/>
      <c r="AD1" s="94"/>
      <c r="AE1" s="94"/>
      <c r="AF1" s="112"/>
      <c r="AG1" s="94"/>
      <c r="AH1" s="94"/>
      <c r="AI1" s="94"/>
      <c r="AJ1" s="94"/>
    </row>
    <row r="2" spans="1:37" x14ac:dyDescent="0.25">
      <c r="A2" s="108" t="s">
        <v>394</v>
      </c>
      <c r="B2" s="197"/>
      <c r="C2" s="103" t="s">
        <v>396</v>
      </c>
      <c r="D2" s="199" t="s">
        <v>274</v>
      </c>
      <c r="E2" s="93"/>
      <c r="F2" s="93"/>
      <c r="G2" s="93"/>
      <c r="H2" s="93"/>
      <c r="I2" s="93"/>
      <c r="J2" s="93"/>
      <c r="K2" s="93"/>
      <c r="L2" s="93"/>
      <c r="M2" s="93"/>
      <c r="N2" s="93"/>
      <c r="O2" s="93"/>
      <c r="P2" s="93"/>
      <c r="Q2" s="93"/>
      <c r="R2" s="93"/>
      <c r="S2" s="93"/>
      <c r="T2" s="93"/>
      <c r="U2" s="93"/>
      <c r="V2" s="93"/>
      <c r="W2" s="93"/>
      <c r="X2" s="93"/>
      <c r="Y2" s="93"/>
      <c r="Z2" s="93"/>
      <c r="AA2" s="93"/>
      <c r="AB2" s="93"/>
      <c r="AC2" s="94"/>
      <c r="AD2" s="94"/>
      <c r="AE2" s="94"/>
      <c r="AF2" s="94"/>
      <c r="AG2" s="94"/>
      <c r="AH2" s="94"/>
      <c r="AI2" s="94"/>
      <c r="AJ2" s="94"/>
    </row>
    <row r="3" spans="1:37" ht="13.5" x14ac:dyDescent="0.25">
      <c r="A3" s="127"/>
      <c r="B3" s="128"/>
      <c r="C3" s="128"/>
      <c r="D3" s="93"/>
      <c r="E3" s="116" t="s">
        <v>360</v>
      </c>
      <c r="F3" s="99"/>
      <c r="G3" s="100"/>
      <c r="H3" s="100"/>
      <c r="I3" s="101"/>
      <c r="J3" s="101"/>
      <c r="K3" s="101"/>
      <c r="L3" s="101"/>
      <c r="M3" s="101"/>
      <c r="N3" s="101"/>
      <c r="O3" s="101"/>
      <c r="P3" s="101"/>
      <c r="Q3" s="101"/>
      <c r="R3" s="101"/>
      <c r="S3" s="101"/>
      <c r="T3" s="101"/>
      <c r="U3" s="102"/>
      <c r="V3" s="95"/>
      <c r="W3" s="95"/>
      <c r="X3" s="95"/>
      <c r="Y3" s="95"/>
      <c r="Z3" s="95"/>
      <c r="AA3" s="95"/>
      <c r="AB3" s="95"/>
      <c r="AC3" s="94"/>
      <c r="AD3" s="94"/>
      <c r="AE3" s="94"/>
      <c r="AF3" s="94"/>
      <c r="AG3" s="94"/>
      <c r="AH3" s="94"/>
      <c r="AI3" s="94"/>
      <c r="AJ3" s="94"/>
    </row>
    <row r="4" spans="1:37" ht="93" customHeight="1" x14ac:dyDescent="0.25">
      <c r="A4" s="183" t="s">
        <v>442</v>
      </c>
      <c r="B4" s="184" t="s">
        <v>418</v>
      </c>
      <c r="C4" s="184" t="s">
        <v>419</v>
      </c>
      <c r="D4" s="184" t="s">
        <v>420</v>
      </c>
      <c r="E4" s="257" t="s">
        <v>27</v>
      </c>
      <c r="F4" s="257" t="s">
        <v>327</v>
      </c>
      <c r="G4" s="257" t="s">
        <v>28</v>
      </c>
      <c r="H4" s="257" t="s">
        <v>17</v>
      </c>
      <c r="I4" s="257" t="s">
        <v>81</v>
      </c>
      <c r="J4" s="257" t="s">
        <v>82</v>
      </c>
      <c r="K4" s="257" t="s">
        <v>83</v>
      </c>
      <c r="L4" s="257" t="s">
        <v>84</v>
      </c>
      <c r="M4" s="257" t="s">
        <v>18</v>
      </c>
      <c r="N4" s="257" t="s">
        <v>29</v>
      </c>
      <c r="O4" s="257" t="s">
        <v>30</v>
      </c>
      <c r="P4" s="257" t="s">
        <v>19</v>
      </c>
      <c r="Q4" s="257" t="s">
        <v>31</v>
      </c>
      <c r="R4" s="257" t="s">
        <v>32</v>
      </c>
      <c r="S4" s="257" t="s">
        <v>85</v>
      </c>
      <c r="T4" s="257" t="s">
        <v>86</v>
      </c>
      <c r="U4" s="257" t="s">
        <v>358</v>
      </c>
      <c r="V4" s="185" t="s">
        <v>356</v>
      </c>
      <c r="W4" s="186" t="s">
        <v>397</v>
      </c>
      <c r="X4" s="261" t="s">
        <v>413</v>
      </c>
      <c r="Y4" s="262"/>
      <c r="Z4" s="263"/>
      <c r="AA4" s="254" t="s">
        <v>405</v>
      </c>
      <c r="AB4" s="255"/>
      <c r="AC4" s="256"/>
      <c r="AD4" s="186" t="s">
        <v>357</v>
      </c>
      <c r="AE4" s="186" t="s">
        <v>363</v>
      </c>
      <c r="AF4" s="187" t="s">
        <v>362</v>
      </c>
      <c r="AG4" s="185" t="s">
        <v>437</v>
      </c>
      <c r="AH4" s="185" t="s">
        <v>438</v>
      </c>
      <c r="AI4" s="185" t="s">
        <v>439</v>
      </c>
      <c r="AJ4" s="184" t="s">
        <v>359</v>
      </c>
    </row>
    <row r="5" spans="1:37" ht="12.75" customHeight="1" x14ac:dyDescent="0.25">
      <c r="A5" s="188"/>
      <c r="B5" s="189"/>
      <c r="C5" s="190"/>
      <c r="D5" s="191"/>
      <c r="E5" s="258"/>
      <c r="F5" s="258"/>
      <c r="G5" s="258"/>
      <c r="H5" s="258"/>
      <c r="I5" s="258"/>
      <c r="J5" s="258"/>
      <c r="K5" s="258"/>
      <c r="L5" s="258"/>
      <c r="M5" s="258"/>
      <c r="N5" s="258"/>
      <c r="O5" s="258"/>
      <c r="P5" s="258"/>
      <c r="Q5" s="258"/>
      <c r="R5" s="258"/>
      <c r="S5" s="258"/>
      <c r="T5" s="258"/>
      <c r="U5" s="258"/>
      <c r="V5" s="192" t="s">
        <v>414</v>
      </c>
      <c r="W5" s="192" t="s">
        <v>414</v>
      </c>
      <c r="X5" s="193" t="s">
        <v>33</v>
      </c>
      <c r="Y5" s="193" t="s">
        <v>35</v>
      </c>
      <c r="Z5" s="184" t="s">
        <v>34</v>
      </c>
      <c r="AA5" s="193" t="s">
        <v>33</v>
      </c>
      <c r="AB5" s="184" t="s">
        <v>35</v>
      </c>
      <c r="AC5" s="193" t="s">
        <v>34</v>
      </c>
      <c r="AD5" s="194" t="s">
        <v>414</v>
      </c>
      <c r="AE5" s="194" t="s">
        <v>414</v>
      </c>
      <c r="AF5" s="194" t="s">
        <v>414</v>
      </c>
      <c r="AG5" s="195" t="s">
        <v>436</v>
      </c>
      <c r="AH5" s="195" t="s">
        <v>436</v>
      </c>
      <c r="AI5" s="195" t="s">
        <v>436</v>
      </c>
      <c r="AJ5" s="196"/>
      <c r="AK5" s="86"/>
    </row>
    <row r="6" spans="1:37" s="130" customFormat="1" ht="13.5" x14ac:dyDescent="0.25">
      <c r="A6" s="210" t="s">
        <v>43</v>
      </c>
      <c r="B6" s="242" t="s">
        <v>537</v>
      </c>
      <c r="C6" s="242"/>
      <c r="D6" s="243"/>
      <c r="E6" s="243"/>
      <c r="F6" s="243"/>
      <c r="G6" s="243"/>
      <c r="H6" s="243"/>
      <c r="I6" s="243"/>
      <c r="J6" s="243"/>
      <c r="K6" s="243"/>
      <c r="L6" s="243"/>
      <c r="M6" s="243"/>
      <c r="N6" s="243"/>
      <c r="O6" s="243"/>
      <c r="P6" s="243"/>
      <c r="Q6" s="243"/>
      <c r="R6" s="243"/>
      <c r="S6" s="243"/>
      <c r="T6" s="243"/>
      <c r="U6" s="243"/>
      <c r="V6" s="243"/>
      <c r="W6" s="243"/>
      <c r="X6" s="216"/>
      <c r="Y6" s="216"/>
      <c r="Z6" s="216"/>
      <c r="AA6" s="216"/>
      <c r="AB6" s="216"/>
      <c r="AC6" s="216"/>
      <c r="AD6" s="243"/>
      <c r="AE6" s="243"/>
      <c r="AF6" s="243"/>
      <c r="AG6" s="213"/>
      <c r="AH6" s="213"/>
      <c r="AI6" s="213"/>
      <c r="AJ6" s="248"/>
      <c r="AK6" s="129"/>
    </row>
    <row r="7" spans="1:37" s="131" customFormat="1" ht="13.5" x14ac:dyDescent="0.25">
      <c r="A7" s="211" t="s">
        <v>20</v>
      </c>
      <c r="B7" s="244" t="s">
        <v>291</v>
      </c>
      <c r="C7" s="244"/>
      <c r="D7" s="245"/>
      <c r="E7" s="245"/>
      <c r="F7" s="245"/>
      <c r="G7" s="245"/>
      <c r="H7" s="245"/>
      <c r="I7" s="245"/>
      <c r="J7" s="245"/>
      <c r="K7" s="245"/>
      <c r="L7" s="245"/>
      <c r="M7" s="245"/>
      <c r="N7" s="245"/>
      <c r="O7" s="245"/>
      <c r="P7" s="245"/>
      <c r="Q7" s="245"/>
      <c r="R7" s="245"/>
      <c r="S7" s="245"/>
      <c r="T7" s="245"/>
      <c r="U7" s="245"/>
      <c r="V7" s="245"/>
      <c r="W7" s="245"/>
      <c r="X7" s="217"/>
      <c r="Y7" s="217"/>
      <c r="Z7" s="217"/>
      <c r="AA7" s="217"/>
      <c r="AB7" s="217"/>
      <c r="AC7" s="217"/>
      <c r="AD7" s="245"/>
      <c r="AE7" s="245"/>
      <c r="AF7" s="245"/>
      <c r="AG7" s="214"/>
      <c r="AH7" s="214"/>
      <c r="AI7" s="214"/>
      <c r="AJ7" s="249"/>
      <c r="AK7" s="129"/>
    </row>
    <row r="8" spans="1:37" s="129" customFormat="1" ht="13.5" x14ac:dyDescent="0.25">
      <c r="A8" s="210" t="s">
        <v>21</v>
      </c>
      <c r="B8" s="242" t="s">
        <v>292</v>
      </c>
      <c r="C8" s="242"/>
      <c r="D8" s="243"/>
      <c r="E8" s="243"/>
      <c r="F8" s="243"/>
      <c r="G8" s="243"/>
      <c r="H8" s="243"/>
      <c r="I8" s="243"/>
      <c r="J8" s="243"/>
      <c r="K8" s="243"/>
      <c r="L8" s="243"/>
      <c r="M8" s="243"/>
      <c r="N8" s="243"/>
      <c r="O8" s="243"/>
      <c r="P8" s="243"/>
      <c r="Q8" s="243"/>
      <c r="R8" s="243"/>
      <c r="S8" s="243"/>
      <c r="T8" s="243"/>
      <c r="U8" s="243"/>
      <c r="V8" s="243"/>
      <c r="W8" s="243"/>
      <c r="X8" s="216"/>
      <c r="Y8" s="216"/>
      <c r="Z8" s="216"/>
      <c r="AA8" s="216"/>
      <c r="AB8" s="216"/>
      <c r="AC8" s="216"/>
      <c r="AD8" s="243"/>
      <c r="AE8" s="243"/>
      <c r="AF8" s="243"/>
      <c r="AG8" s="213"/>
      <c r="AH8" s="213"/>
      <c r="AI8" s="213"/>
      <c r="AJ8" s="248"/>
    </row>
    <row r="9" spans="1:37" s="131" customFormat="1" ht="13.5" x14ac:dyDescent="0.25">
      <c r="A9" s="211" t="s">
        <v>44</v>
      </c>
      <c r="B9" s="244" t="s">
        <v>293</v>
      </c>
      <c r="C9" s="244"/>
      <c r="D9" s="245"/>
      <c r="E9" s="245"/>
      <c r="F9" s="245"/>
      <c r="G9" s="245"/>
      <c r="H9" s="245"/>
      <c r="I9" s="245"/>
      <c r="J9" s="245"/>
      <c r="K9" s="245"/>
      <c r="L9" s="245"/>
      <c r="M9" s="245"/>
      <c r="N9" s="245"/>
      <c r="O9" s="245"/>
      <c r="P9" s="245"/>
      <c r="Q9" s="245"/>
      <c r="R9" s="245"/>
      <c r="S9" s="245"/>
      <c r="T9" s="245"/>
      <c r="U9" s="245"/>
      <c r="V9" s="245"/>
      <c r="W9" s="245"/>
      <c r="X9" s="217"/>
      <c r="Y9" s="217"/>
      <c r="Z9" s="217"/>
      <c r="AA9" s="217"/>
      <c r="AB9" s="217"/>
      <c r="AC9" s="217"/>
      <c r="AD9" s="245"/>
      <c r="AE9" s="245"/>
      <c r="AF9" s="245"/>
      <c r="AG9" s="214"/>
      <c r="AH9" s="214"/>
      <c r="AI9" s="214"/>
      <c r="AJ9" s="249"/>
      <c r="AK9" s="129"/>
    </row>
    <row r="10" spans="1:37" s="129" customFormat="1" ht="13.5" x14ac:dyDescent="0.25">
      <c r="A10" s="210" t="s">
        <v>45</v>
      </c>
      <c r="B10" s="242" t="s">
        <v>294</v>
      </c>
      <c r="C10" s="242"/>
      <c r="D10" s="243"/>
      <c r="E10" s="243"/>
      <c r="F10" s="243"/>
      <c r="G10" s="243"/>
      <c r="H10" s="243"/>
      <c r="I10" s="243"/>
      <c r="J10" s="243"/>
      <c r="K10" s="243"/>
      <c r="L10" s="243"/>
      <c r="M10" s="243"/>
      <c r="N10" s="243"/>
      <c r="O10" s="243"/>
      <c r="P10" s="243"/>
      <c r="Q10" s="243"/>
      <c r="R10" s="243"/>
      <c r="S10" s="243"/>
      <c r="T10" s="243"/>
      <c r="U10" s="243"/>
      <c r="V10" s="243"/>
      <c r="W10" s="243"/>
      <c r="X10" s="216"/>
      <c r="Y10" s="216"/>
      <c r="Z10" s="216"/>
      <c r="AA10" s="216"/>
      <c r="AB10" s="216"/>
      <c r="AC10" s="216"/>
      <c r="AD10" s="243"/>
      <c r="AE10" s="243"/>
      <c r="AF10" s="243"/>
      <c r="AG10" s="213"/>
      <c r="AH10" s="213"/>
      <c r="AI10" s="213"/>
      <c r="AJ10" s="248"/>
    </row>
    <row r="11" spans="1:37" s="131" customFormat="1" ht="13.5" x14ac:dyDescent="0.25">
      <c r="A11" s="211" t="s">
        <v>46</v>
      </c>
      <c r="B11" s="244" t="s">
        <v>295</v>
      </c>
      <c r="C11" s="244"/>
      <c r="D11" s="245"/>
      <c r="E11" s="245"/>
      <c r="F11" s="245"/>
      <c r="G11" s="245"/>
      <c r="H11" s="245"/>
      <c r="I11" s="245"/>
      <c r="J11" s="245"/>
      <c r="K11" s="245"/>
      <c r="L11" s="245"/>
      <c r="M11" s="245"/>
      <c r="N11" s="245"/>
      <c r="O11" s="245"/>
      <c r="P11" s="245"/>
      <c r="Q11" s="245"/>
      <c r="R11" s="245"/>
      <c r="S11" s="245"/>
      <c r="T11" s="245"/>
      <c r="U11" s="245"/>
      <c r="V11" s="245"/>
      <c r="W11" s="245"/>
      <c r="X11" s="217"/>
      <c r="Y11" s="217"/>
      <c r="Z11" s="217"/>
      <c r="AA11" s="217"/>
      <c r="AB11" s="217"/>
      <c r="AC11" s="217"/>
      <c r="AD11" s="245"/>
      <c r="AE11" s="245"/>
      <c r="AF11" s="245"/>
      <c r="AG11" s="214"/>
      <c r="AH11" s="214"/>
      <c r="AI11" s="214"/>
      <c r="AJ11" s="249"/>
      <c r="AK11" s="129"/>
    </row>
    <row r="12" spans="1:37" s="129" customFormat="1" ht="13.5" x14ac:dyDescent="0.25">
      <c r="A12" s="210" t="s">
        <v>47</v>
      </c>
      <c r="B12" s="242" t="s">
        <v>296</v>
      </c>
      <c r="C12" s="244"/>
      <c r="D12" s="243"/>
      <c r="E12" s="243"/>
      <c r="F12" s="243"/>
      <c r="G12" s="243"/>
      <c r="H12" s="243"/>
      <c r="I12" s="243"/>
      <c r="J12" s="243"/>
      <c r="K12" s="243"/>
      <c r="L12" s="243"/>
      <c r="M12" s="243"/>
      <c r="N12" s="243"/>
      <c r="O12" s="243"/>
      <c r="P12" s="243"/>
      <c r="Q12" s="243"/>
      <c r="R12" s="243"/>
      <c r="S12" s="243"/>
      <c r="T12" s="243"/>
      <c r="U12" s="243"/>
      <c r="V12" s="243"/>
      <c r="W12" s="243"/>
      <c r="X12" s="216"/>
      <c r="Y12" s="216"/>
      <c r="Z12" s="216"/>
      <c r="AA12" s="216"/>
      <c r="AB12" s="216"/>
      <c r="AC12" s="216"/>
      <c r="AD12" s="243"/>
      <c r="AE12" s="243"/>
      <c r="AF12" s="243"/>
      <c r="AG12" s="213"/>
      <c r="AH12" s="213"/>
      <c r="AI12" s="213"/>
      <c r="AJ12" s="248"/>
    </row>
    <row r="13" spans="1:37" s="131" customFormat="1" ht="13.5" x14ac:dyDescent="0.25">
      <c r="A13" s="211" t="s">
        <v>48</v>
      </c>
      <c r="B13" s="244" t="s">
        <v>297</v>
      </c>
      <c r="C13" s="244"/>
      <c r="D13" s="245"/>
      <c r="E13" s="245"/>
      <c r="F13" s="245"/>
      <c r="G13" s="245"/>
      <c r="H13" s="245"/>
      <c r="I13" s="245"/>
      <c r="J13" s="245"/>
      <c r="K13" s="245"/>
      <c r="L13" s="245"/>
      <c r="M13" s="245"/>
      <c r="N13" s="245"/>
      <c r="O13" s="245"/>
      <c r="P13" s="245"/>
      <c r="Q13" s="245"/>
      <c r="R13" s="245"/>
      <c r="S13" s="245"/>
      <c r="T13" s="245"/>
      <c r="U13" s="245"/>
      <c r="V13" s="245"/>
      <c r="W13" s="245"/>
      <c r="X13" s="217"/>
      <c r="Y13" s="217"/>
      <c r="Z13" s="217"/>
      <c r="AA13" s="217"/>
      <c r="AB13" s="217"/>
      <c r="AC13" s="217"/>
      <c r="AD13" s="245"/>
      <c r="AE13" s="245"/>
      <c r="AF13" s="245"/>
      <c r="AG13" s="214"/>
      <c r="AH13" s="214"/>
      <c r="AI13" s="214"/>
      <c r="AJ13" s="249"/>
      <c r="AK13" s="129"/>
    </row>
    <row r="14" spans="1:37" s="129" customFormat="1" ht="13.5" x14ac:dyDescent="0.25">
      <c r="A14" s="210" t="s">
        <v>49</v>
      </c>
      <c r="B14" s="242" t="s">
        <v>298</v>
      </c>
      <c r="C14" s="242"/>
      <c r="D14" s="243"/>
      <c r="E14" s="243"/>
      <c r="F14" s="243"/>
      <c r="G14" s="243"/>
      <c r="H14" s="243"/>
      <c r="I14" s="243"/>
      <c r="J14" s="243"/>
      <c r="K14" s="243"/>
      <c r="L14" s="243"/>
      <c r="M14" s="243"/>
      <c r="N14" s="243"/>
      <c r="O14" s="243"/>
      <c r="P14" s="243"/>
      <c r="Q14" s="243"/>
      <c r="R14" s="243"/>
      <c r="S14" s="243"/>
      <c r="T14" s="243"/>
      <c r="U14" s="243"/>
      <c r="V14" s="243"/>
      <c r="W14" s="243"/>
      <c r="X14" s="216"/>
      <c r="Y14" s="216"/>
      <c r="Z14" s="216"/>
      <c r="AA14" s="216"/>
      <c r="AB14" s="216"/>
      <c r="AC14" s="216"/>
      <c r="AD14" s="243"/>
      <c r="AE14" s="243"/>
      <c r="AF14" s="243"/>
      <c r="AG14" s="213"/>
      <c r="AH14" s="213"/>
      <c r="AI14" s="213"/>
      <c r="AJ14" s="248"/>
    </row>
    <row r="15" spans="1:37" s="131" customFormat="1" ht="13.5" x14ac:dyDescent="0.25">
      <c r="A15" s="211" t="s">
        <v>50</v>
      </c>
      <c r="B15" s="244" t="s">
        <v>299</v>
      </c>
      <c r="C15" s="244"/>
      <c r="D15" s="245"/>
      <c r="E15" s="245"/>
      <c r="F15" s="245"/>
      <c r="G15" s="245"/>
      <c r="H15" s="245"/>
      <c r="I15" s="245"/>
      <c r="J15" s="245"/>
      <c r="K15" s="245"/>
      <c r="L15" s="245"/>
      <c r="M15" s="245"/>
      <c r="N15" s="245"/>
      <c r="O15" s="245"/>
      <c r="P15" s="245"/>
      <c r="Q15" s="245"/>
      <c r="R15" s="245"/>
      <c r="S15" s="245"/>
      <c r="T15" s="245"/>
      <c r="U15" s="245"/>
      <c r="V15" s="245"/>
      <c r="W15" s="245"/>
      <c r="X15" s="217"/>
      <c r="Y15" s="217"/>
      <c r="Z15" s="217"/>
      <c r="AA15" s="217"/>
      <c r="AB15" s="217"/>
      <c r="AC15" s="217"/>
      <c r="AD15" s="245"/>
      <c r="AE15" s="245"/>
      <c r="AF15" s="245"/>
      <c r="AG15" s="214"/>
      <c r="AH15" s="214"/>
      <c r="AI15" s="214"/>
      <c r="AJ15" s="249"/>
      <c r="AK15" s="129"/>
    </row>
    <row r="16" spans="1:37" s="129" customFormat="1" ht="13.5" x14ac:dyDescent="0.25">
      <c r="A16" s="210" t="s">
        <v>51</v>
      </c>
      <c r="B16" s="242" t="s">
        <v>300</v>
      </c>
      <c r="C16" s="242"/>
      <c r="D16" s="243"/>
      <c r="E16" s="243"/>
      <c r="F16" s="243"/>
      <c r="G16" s="243"/>
      <c r="H16" s="243"/>
      <c r="I16" s="243"/>
      <c r="J16" s="243"/>
      <c r="K16" s="243"/>
      <c r="L16" s="243"/>
      <c r="M16" s="243"/>
      <c r="N16" s="243"/>
      <c r="O16" s="243"/>
      <c r="P16" s="243"/>
      <c r="Q16" s="243"/>
      <c r="R16" s="243"/>
      <c r="S16" s="243"/>
      <c r="T16" s="243"/>
      <c r="U16" s="243"/>
      <c r="V16" s="243"/>
      <c r="W16" s="243"/>
      <c r="X16" s="216"/>
      <c r="Y16" s="216"/>
      <c r="Z16" s="216"/>
      <c r="AA16" s="216"/>
      <c r="AB16" s="216"/>
      <c r="AC16" s="216"/>
      <c r="AD16" s="243"/>
      <c r="AE16" s="243"/>
      <c r="AF16" s="243"/>
      <c r="AG16" s="213"/>
      <c r="AH16" s="213"/>
      <c r="AI16" s="213"/>
      <c r="AJ16" s="248"/>
    </row>
    <row r="17" spans="1:37" s="131" customFormat="1" ht="13.5" x14ac:dyDescent="0.25">
      <c r="A17" s="211" t="s">
        <v>52</v>
      </c>
      <c r="B17" s="244" t="s">
        <v>301</v>
      </c>
      <c r="C17" s="242"/>
      <c r="D17" s="245"/>
      <c r="E17" s="245"/>
      <c r="F17" s="245"/>
      <c r="G17" s="245"/>
      <c r="H17" s="245"/>
      <c r="I17" s="245"/>
      <c r="J17" s="245"/>
      <c r="K17" s="245"/>
      <c r="L17" s="245"/>
      <c r="M17" s="245"/>
      <c r="N17" s="245"/>
      <c r="O17" s="245"/>
      <c r="P17" s="245"/>
      <c r="Q17" s="245"/>
      <c r="R17" s="245"/>
      <c r="S17" s="245"/>
      <c r="T17" s="245"/>
      <c r="U17" s="245"/>
      <c r="V17" s="245"/>
      <c r="W17" s="245"/>
      <c r="X17" s="217"/>
      <c r="Y17" s="217"/>
      <c r="Z17" s="217"/>
      <c r="AA17" s="217"/>
      <c r="AB17" s="217"/>
      <c r="AC17" s="217"/>
      <c r="AD17" s="245"/>
      <c r="AE17" s="245"/>
      <c r="AF17" s="245"/>
      <c r="AG17" s="214"/>
      <c r="AH17" s="214"/>
      <c r="AI17" s="214"/>
      <c r="AJ17" s="249"/>
      <c r="AK17" s="129"/>
    </row>
    <row r="18" spans="1:37" s="129" customFormat="1" ht="13.5" x14ac:dyDescent="0.25">
      <c r="A18" s="210" t="s">
        <v>53</v>
      </c>
      <c r="B18" s="242" t="s">
        <v>302</v>
      </c>
      <c r="C18" s="242"/>
      <c r="D18" s="243"/>
      <c r="E18" s="243"/>
      <c r="F18" s="243"/>
      <c r="G18" s="243"/>
      <c r="H18" s="243"/>
      <c r="I18" s="243"/>
      <c r="J18" s="243"/>
      <c r="K18" s="243"/>
      <c r="L18" s="243"/>
      <c r="M18" s="243"/>
      <c r="N18" s="243"/>
      <c r="O18" s="243"/>
      <c r="P18" s="243"/>
      <c r="Q18" s="243"/>
      <c r="R18" s="243"/>
      <c r="S18" s="243"/>
      <c r="T18" s="243"/>
      <c r="U18" s="243"/>
      <c r="V18" s="243"/>
      <c r="W18" s="243"/>
      <c r="X18" s="216"/>
      <c r="Y18" s="216"/>
      <c r="Z18" s="216"/>
      <c r="AA18" s="216"/>
      <c r="AB18" s="216"/>
      <c r="AC18" s="216"/>
      <c r="AD18" s="243"/>
      <c r="AE18" s="243"/>
      <c r="AF18" s="243"/>
      <c r="AG18" s="213"/>
      <c r="AH18" s="213"/>
      <c r="AI18" s="213"/>
      <c r="AJ18" s="248"/>
    </row>
    <row r="19" spans="1:37" s="131" customFormat="1" ht="13.5" x14ac:dyDescent="0.25">
      <c r="A19" s="211" t="s">
        <v>54</v>
      </c>
      <c r="B19" s="244" t="s">
        <v>303</v>
      </c>
      <c r="C19" s="244"/>
      <c r="D19" s="245"/>
      <c r="E19" s="245"/>
      <c r="F19" s="245"/>
      <c r="G19" s="245"/>
      <c r="H19" s="245"/>
      <c r="I19" s="245"/>
      <c r="J19" s="245"/>
      <c r="K19" s="245"/>
      <c r="L19" s="245"/>
      <c r="M19" s="245"/>
      <c r="N19" s="245"/>
      <c r="O19" s="245"/>
      <c r="P19" s="245"/>
      <c r="Q19" s="245"/>
      <c r="R19" s="245"/>
      <c r="S19" s="245"/>
      <c r="T19" s="245"/>
      <c r="U19" s="245"/>
      <c r="V19" s="245"/>
      <c r="W19" s="245"/>
      <c r="X19" s="217"/>
      <c r="Y19" s="217"/>
      <c r="Z19" s="217"/>
      <c r="AA19" s="217"/>
      <c r="AB19" s="217"/>
      <c r="AC19" s="217"/>
      <c r="AD19" s="245"/>
      <c r="AE19" s="245"/>
      <c r="AF19" s="245"/>
      <c r="AG19" s="214"/>
      <c r="AH19" s="214"/>
      <c r="AI19" s="214"/>
      <c r="AJ19" s="249"/>
      <c r="AK19" s="129"/>
    </row>
    <row r="20" spans="1:37" s="129" customFormat="1" ht="13.5" x14ac:dyDescent="0.25">
      <c r="A20" s="210" t="s">
        <v>55</v>
      </c>
      <c r="B20" s="242" t="s">
        <v>117</v>
      </c>
      <c r="C20" s="242"/>
      <c r="D20" s="243"/>
      <c r="E20" s="243"/>
      <c r="F20" s="243"/>
      <c r="G20" s="243"/>
      <c r="H20" s="243"/>
      <c r="I20" s="243"/>
      <c r="J20" s="243"/>
      <c r="K20" s="243"/>
      <c r="L20" s="243"/>
      <c r="M20" s="243"/>
      <c r="N20" s="243"/>
      <c r="O20" s="243"/>
      <c r="P20" s="243"/>
      <c r="Q20" s="243"/>
      <c r="R20" s="243"/>
      <c r="S20" s="243"/>
      <c r="T20" s="243"/>
      <c r="U20" s="243"/>
      <c r="V20" s="243"/>
      <c r="W20" s="243"/>
      <c r="X20" s="216"/>
      <c r="Y20" s="216"/>
      <c r="Z20" s="216"/>
      <c r="AA20" s="216"/>
      <c r="AB20" s="216"/>
      <c r="AC20" s="216"/>
      <c r="AD20" s="243"/>
      <c r="AE20" s="243"/>
      <c r="AF20" s="243"/>
      <c r="AG20" s="213"/>
      <c r="AH20" s="213"/>
      <c r="AI20" s="213"/>
      <c r="AJ20" s="248"/>
    </row>
    <row r="21" spans="1:37" s="131" customFormat="1" ht="13.5" x14ac:dyDescent="0.25">
      <c r="A21" s="211" t="s">
        <v>56</v>
      </c>
      <c r="B21" s="244" t="s">
        <v>118</v>
      </c>
      <c r="C21" s="244"/>
      <c r="D21" s="245"/>
      <c r="E21" s="245"/>
      <c r="F21" s="245"/>
      <c r="G21" s="245"/>
      <c r="H21" s="245"/>
      <c r="I21" s="245"/>
      <c r="J21" s="245"/>
      <c r="K21" s="245"/>
      <c r="L21" s="245"/>
      <c r="M21" s="245"/>
      <c r="N21" s="245"/>
      <c r="O21" s="245"/>
      <c r="P21" s="245"/>
      <c r="Q21" s="245"/>
      <c r="R21" s="245"/>
      <c r="S21" s="245"/>
      <c r="T21" s="245"/>
      <c r="U21" s="245"/>
      <c r="V21" s="245"/>
      <c r="W21" s="245"/>
      <c r="X21" s="217"/>
      <c r="Y21" s="217"/>
      <c r="Z21" s="217"/>
      <c r="AA21" s="217"/>
      <c r="AB21" s="217"/>
      <c r="AC21" s="217"/>
      <c r="AD21" s="245"/>
      <c r="AE21" s="245"/>
      <c r="AF21" s="245"/>
      <c r="AG21" s="214"/>
      <c r="AH21" s="214"/>
      <c r="AI21" s="214"/>
      <c r="AJ21" s="249"/>
      <c r="AK21" s="129"/>
    </row>
    <row r="22" spans="1:37" s="129" customFormat="1" ht="13.5" x14ac:dyDescent="0.25">
      <c r="A22" s="210" t="s">
        <v>57</v>
      </c>
      <c r="B22" s="242" t="s">
        <v>119</v>
      </c>
      <c r="C22" s="242"/>
      <c r="D22" s="243"/>
      <c r="E22" s="243"/>
      <c r="F22" s="243"/>
      <c r="G22" s="243"/>
      <c r="H22" s="243"/>
      <c r="I22" s="243"/>
      <c r="J22" s="243"/>
      <c r="K22" s="243"/>
      <c r="L22" s="243"/>
      <c r="M22" s="243"/>
      <c r="N22" s="243"/>
      <c r="O22" s="243"/>
      <c r="P22" s="243"/>
      <c r="Q22" s="243"/>
      <c r="R22" s="243"/>
      <c r="S22" s="243"/>
      <c r="T22" s="243"/>
      <c r="U22" s="243"/>
      <c r="V22" s="243"/>
      <c r="W22" s="243"/>
      <c r="X22" s="216"/>
      <c r="Y22" s="216"/>
      <c r="Z22" s="216"/>
      <c r="AA22" s="216"/>
      <c r="AB22" s="216"/>
      <c r="AC22" s="216"/>
      <c r="AD22" s="243"/>
      <c r="AE22" s="243"/>
      <c r="AF22" s="243"/>
      <c r="AG22" s="213"/>
      <c r="AH22" s="213"/>
      <c r="AI22" s="213"/>
      <c r="AJ22" s="248"/>
    </row>
    <row r="23" spans="1:37" s="131" customFormat="1" ht="13.5" x14ac:dyDescent="0.25">
      <c r="A23" s="211" t="s">
        <v>58</v>
      </c>
      <c r="B23" s="244" t="s">
        <v>120</v>
      </c>
      <c r="C23" s="244"/>
      <c r="D23" s="245"/>
      <c r="E23" s="245"/>
      <c r="F23" s="245"/>
      <c r="G23" s="245"/>
      <c r="H23" s="245"/>
      <c r="I23" s="245"/>
      <c r="J23" s="245"/>
      <c r="K23" s="245"/>
      <c r="L23" s="245"/>
      <c r="M23" s="245"/>
      <c r="N23" s="245"/>
      <c r="O23" s="245"/>
      <c r="P23" s="245"/>
      <c r="Q23" s="245"/>
      <c r="R23" s="245"/>
      <c r="S23" s="245"/>
      <c r="T23" s="245"/>
      <c r="U23" s="245"/>
      <c r="V23" s="245"/>
      <c r="W23" s="245"/>
      <c r="X23" s="217"/>
      <c r="Y23" s="217"/>
      <c r="Z23" s="217"/>
      <c r="AA23" s="217"/>
      <c r="AB23" s="217"/>
      <c r="AC23" s="217"/>
      <c r="AD23" s="245"/>
      <c r="AE23" s="245"/>
      <c r="AF23" s="245"/>
      <c r="AG23" s="214"/>
      <c r="AH23" s="214"/>
      <c r="AI23" s="214"/>
      <c r="AJ23" s="249"/>
      <c r="AK23" s="129"/>
    </row>
    <row r="24" spans="1:37" s="129" customFormat="1" ht="13.5" x14ac:dyDescent="0.25">
      <c r="A24" s="210" t="s">
        <v>59</v>
      </c>
      <c r="B24" s="242" t="s">
        <v>121</v>
      </c>
      <c r="C24" s="242"/>
      <c r="D24" s="243"/>
      <c r="E24" s="243"/>
      <c r="F24" s="243"/>
      <c r="G24" s="243"/>
      <c r="H24" s="243"/>
      <c r="I24" s="243"/>
      <c r="J24" s="243"/>
      <c r="K24" s="243"/>
      <c r="L24" s="243"/>
      <c r="M24" s="243"/>
      <c r="N24" s="243"/>
      <c r="O24" s="243"/>
      <c r="P24" s="243"/>
      <c r="Q24" s="243"/>
      <c r="R24" s="243"/>
      <c r="S24" s="243"/>
      <c r="T24" s="243"/>
      <c r="U24" s="243"/>
      <c r="V24" s="243"/>
      <c r="W24" s="243"/>
      <c r="X24" s="216"/>
      <c r="Y24" s="216"/>
      <c r="Z24" s="216"/>
      <c r="AA24" s="216"/>
      <c r="AB24" s="216"/>
      <c r="AC24" s="216"/>
      <c r="AD24" s="243"/>
      <c r="AE24" s="243"/>
      <c r="AF24" s="243"/>
      <c r="AG24" s="213"/>
      <c r="AH24" s="213"/>
      <c r="AI24" s="213"/>
      <c r="AJ24" s="248"/>
    </row>
    <row r="25" spans="1:37" s="131" customFormat="1" ht="13.5" x14ac:dyDescent="0.25">
      <c r="A25" s="211" t="s">
        <v>60</v>
      </c>
      <c r="B25" s="244" t="s">
        <v>122</v>
      </c>
      <c r="C25" s="244"/>
      <c r="D25" s="245"/>
      <c r="E25" s="245"/>
      <c r="F25" s="245"/>
      <c r="G25" s="245"/>
      <c r="H25" s="245"/>
      <c r="I25" s="245"/>
      <c r="J25" s="245"/>
      <c r="K25" s="245"/>
      <c r="L25" s="245"/>
      <c r="M25" s="245"/>
      <c r="N25" s="245"/>
      <c r="O25" s="245"/>
      <c r="P25" s="245"/>
      <c r="Q25" s="245"/>
      <c r="R25" s="245"/>
      <c r="S25" s="245"/>
      <c r="T25" s="245"/>
      <c r="U25" s="245"/>
      <c r="V25" s="245"/>
      <c r="W25" s="245"/>
      <c r="X25" s="217"/>
      <c r="Y25" s="217"/>
      <c r="Z25" s="217"/>
      <c r="AA25" s="217"/>
      <c r="AB25" s="217"/>
      <c r="AC25" s="217"/>
      <c r="AD25" s="245"/>
      <c r="AE25" s="245"/>
      <c r="AF25" s="245"/>
      <c r="AG25" s="214"/>
      <c r="AH25" s="214"/>
      <c r="AI25" s="214"/>
      <c r="AJ25" s="249"/>
      <c r="AK25" s="129"/>
    </row>
    <row r="26" spans="1:37" s="129" customFormat="1" ht="13.5" x14ac:dyDescent="0.25">
      <c r="A26" s="210" t="s">
        <v>61</v>
      </c>
      <c r="B26" s="242" t="s">
        <v>305</v>
      </c>
      <c r="C26" s="242"/>
      <c r="D26" s="243"/>
      <c r="E26" s="243"/>
      <c r="F26" s="243"/>
      <c r="G26" s="243"/>
      <c r="H26" s="243"/>
      <c r="I26" s="243"/>
      <c r="J26" s="243"/>
      <c r="K26" s="243"/>
      <c r="L26" s="243"/>
      <c r="M26" s="243"/>
      <c r="N26" s="243"/>
      <c r="O26" s="243"/>
      <c r="P26" s="243"/>
      <c r="Q26" s="243"/>
      <c r="R26" s="243"/>
      <c r="S26" s="243"/>
      <c r="T26" s="243"/>
      <c r="U26" s="243"/>
      <c r="V26" s="243"/>
      <c r="W26" s="243"/>
      <c r="X26" s="216"/>
      <c r="Y26" s="216"/>
      <c r="Z26" s="216"/>
      <c r="AA26" s="216"/>
      <c r="AB26" s="216"/>
      <c r="AC26" s="216"/>
      <c r="AD26" s="243"/>
      <c r="AE26" s="243"/>
      <c r="AF26" s="243"/>
      <c r="AG26" s="213"/>
      <c r="AH26" s="213"/>
      <c r="AI26" s="213"/>
      <c r="AJ26" s="248"/>
    </row>
    <row r="27" spans="1:37" s="131" customFormat="1" ht="13.5" x14ac:dyDescent="0.25">
      <c r="A27" s="211" t="s">
        <v>62</v>
      </c>
      <c r="B27" s="244" t="s">
        <v>306</v>
      </c>
      <c r="C27" s="244"/>
      <c r="D27" s="245"/>
      <c r="E27" s="245"/>
      <c r="F27" s="245"/>
      <c r="G27" s="245"/>
      <c r="H27" s="245"/>
      <c r="I27" s="245"/>
      <c r="J27" s="245"/>
      <c r="K27" s="245"/>
      <c r="L27" s="245"/>
      <c r="M27" s="245"/>
      <c r="N27" s="245"/>
      <c r="O27" s="245"/>
      <c r="P27" s="245"/>
      <c r="Q27" s="245"/>
      <c r="R27" s="245"/>
      <c r="S27" s="245"/>
      <c r="T27" s="245"/>
      <c r="U27" s="245"/>
      <c r="V27" s="245"/>
      <c r="W27" s="245"/>
      <c r="X27" s="217"/>
      <c r="Y27" s="217"/>
      <c r="Z27" s="217"/>
      <c r="AA27" s="217"/>
      <c r="AB27" s="217"/>
      <c r="AC27" s="217"/>
      <c r="AD27" s="245"/>
      <c r="AE27" s="245"/>
      <c r="AF27" s="245"/>
      <c r="AG27" s="214"/>
      <c r="AH27" s="214"/>
      <c r="AI27" s="214"/>
      <c r="AJ27" s="249"/>
      <c r="AK27" s="129"/>
    </row>
    <row r="28" spans="1:37" s="129" customFormat="1" ht="13.5" x14ac:dyDescent="0.25">
      <c r="A28" s="210" t="s">
        <v>63</v>
      </c>
      <c r="B28" s="242" t="s">
        <v>307</v>
      </c>
      <c r="C28" s="242"/>
      <c r="D28" s="243"/>
      <c r="E28" s="243"/>
      <c r="F28" s="243"/>
      <c r="G28" s="243"/>
      <c r="H28" s="243"/>
      <c r="I28" s="243"/>
      <c r="J28" s="243"/>
      <c r="K28" s="243"/>
      <c r="L28" s="243"/>
      <c r="M28" s="243"/>
      <c r="N28" s="243"/>
      <c r="O28" s="243"/>
      <c r="P28" s="243"/>
      <c r="Q28" s="243"/>
      <c r="R28" s="243"/>
      <c r="S28" s="243"/>
      <c r="T28" s="243"/>
      <c r="U28" s="243"/>
      <c r="V28" s="243"/>
      <c r="W28" s="243"/>
      <c r="X28" s="216"/>
      <c r="Y28" s="216"/>
      <c r="Z28" s="216"/>
      <c r="AA28" s="216"/>
      <c r="AB28" s="216"/>
      <c r="AC28" s="216"/>
      <c r="AD28" s="243"/>
      <c r="AE28" s="243"/>
      <c r="AF28" s="243"/>
      <c r="AG28" s="213"/>
      <c r="AH28" s="213"/>
      <c r="AI28" s="213"/>
      <c r="AJ28" s="248"/>
    </row>
    <row r="29" spans="1:37" s="131" customFormat="1" ht="13.5" x14ac:dyDescent="0.25">
      <c r="A29" s="211" t="s">
        <v>64</v>
      </c>
      <c r="B29" s="244" t="s">
        <v>308</v>
      </c>
      <c r="C29" s="244"/>
      <c r="D29" s="245"/>
      <c r="E29" s="245"/>
      <c r="F29" s="245"/>
      <c r="G29" s="245"/>
      <c r="H29" s="245"/>
      <c r="I29" s="245"/>
      <c r="J29" s="245"/>
      <c r="K29" s="245"/>
      <c r="L29" s="245"/>
      <c r="M29" s="245"/>
      <c r="N29" s="245"/>
      <c r="O29" s="245"/>
      <c r="P29" s="245"/>
      <c r="Q29" s="245"/>
      <c r="R29" s="245"/>
      <c r="S29" s="245"/>
      <c r="T29" s="245"/>
      <c r="U29" s="245"/>
      <c r="V29" s="245"/>
      <c r="W29" s="245"/>
      <c r="X29" s="217"/>
      <c r="Y29" s="217"/>
      <c r="Z29" s="217"/>
      <c r="AA29" s="217"/>
      <c r="AB29" s="217"/>
      <c r="AC29" s="217"/>
      <c r="AD29" s="245"/>
      <c r="AE29" s="245"/>
      <c r="AF29" s="245"/>
      <c r="AG29" s="214"/>
      <c r="AH29" s="214"/>
      <c r="AI29" s="214"/>
      <c r="AJ29" s="249"/>
      <c r="AK29" s="129"/>
    </row>
    <row r="30" spans="1:37" s="129" customFormat="1" ht="13.5" x14ac:dyDescent="0.25">
      <c r="A30" s="210" t="s">
        <v>65</v>
      </c>
      <c r="B30" s="242" t="s">
        <v>309</v>
      </c>
      <c r="C30" s="242"/>
      <c r="D30" s="243"/>
      <c r="E30" s="243"/>
      <c r="F30" s="243"/>
      <c r="G30" s="243"/>
      <c r="H30" s="243"/>
      <c r="I30" s="243"/>
      <c r="J30" s="243"/>
      <c r="K30" s="243"/>
      <c r="L30" s="243"/>
      <c r="M30" s="243"/>
      <c r="N30" s="243"/>
      <c r="O30" s="243"/>
      <c r="P30" s="243"/>
      <c r="Q30" s="243"/>
      <c r="R30" s="243"/>
      <c r="S30" s="243"/>
      <c r="T30" s="243"/>
      <c r="U30" s="243"/>
      <c r="V30" s="243"/>
      <c r="W30" s="243"/>
      <c r="X30" s="216"/>
      <c r="Y30" s="216"/>
      <c r="Z30" s="216"/>
      <c r="AA30" s="216"/>
      <c r="AB30" s="216"/>
      <c r="AC30" s="216"/>
      <c r="AD30" s="243"/>
      <c r="AE30" s="243"/>
      <c r="AF30" s="243"/>
      <c r="AG30" s="213"/>
      <c r="AH30" s="213"/>
      <c r="AI30" s="213"/>
      <c r="AJ30" s="248"/>
    </row>
    <row r="31" spans="1:37" s="131" customFormat="1" ht="13.5" x14ac:dyDescent="0.25">
      <c r="A31" s="211" t="s">
        <v>66</v>
      </c>
      <c r="B31" s="244" t="s">
        <v>310</v>
      </c>
      <c r="C31" s="244"/>
      <c r="D31" s="245"/>
      <c r="E31" s="245"/>
      <c r="F31" s="245"/>
      <c r="G31" s="245"/>
      <c r="H31" s="245"/>
      <c r="I31" s="245"/>
      <c r="J31" s="245"/>
      <c r="K31" s="245"/>
      <c r="L31" s="245"/>
      <c r="M31" s="245"/>
      <c r="N31" s="245"/>
      <c r="O31" s="245"/>
      <c r="P31" s="245"/>
      <c r="Q31" s="245"/>
      <c r="R31" s="245"/>
      <c r="S31" s="245"/>
      <c r="T31" s="245"/>
      <c r="U31" s="245"/>
      <c r="V31" s="245"/>
      <c r="W31" s="245"/>
      <c r="X31" s="217"/>
      <c r="Y31" s="217"/>
      <c r="Z31" s="217"/>
      <c r="AA31" s="217"/>
      <c r="AB31" s="217"/>
      <c r="AC31" s="217"/>
      <c r="AD31" s="245"/>
      <c r="AE31" s="245"/>
      <c r="AF31" s="245"/>
      <c r="AG31" s="214"/>
      <c r="AH31" s="214"/>
      <c r="AI31" s="214"/>
      <c r="AJ31" s="249"/>
      <c r="AK31" s="129"/>
    </row>
    <row r="32" spans="1:37" s="129" customFormat="1" ht="13.5" x14ac:dyDescent="0.25">
      <c r="A32" s="210" t="s">
        <v>67</v>
      </c>
      <c r="B32" s="242" t="s">
        <v>311</v>
      </c>
      <c r="C32" s="242"/>
      <c r="D32" s="243"/>
      <c r="E32" s="243"/>
      <c r="F32" s="243"/>
      <c r="G32" s="243"/>
      <c r="H32" s="243"/>
      <c r="I32" s="243"/>
      <c r="J32" s="243"/>
      <c r="K32" s="243"/>
      <c r="L32" s="243"/>
      <c r="M32" s="243"/>
      <c r="N32" s="243"/>
      <c r="O32" s="243"/>
      <c r="P32" s="243"/>
      <c r="Q32" s="243"/>
      <c r="R32" s="243"/>
      <c r="S32" s="243"/>
      <c r="T32" s="243"/>
      <c r="U32" s="243"/>
      <c r="V32" s="243"/>
      <c r="W32" s="243"/>
      <c r="X32" s="216"/>
      <c r="Y32" s="216"/>
      <c r="Z32" s="216"/>
      <c r="AA32" s="216"/>
      <c r="AB32" s="216"/>
      <c r="AC32" s="216"/>
      <c r="AD32" s="243"/>
      <c r="AE32" s="243"/>
      <c r="AF32" s="243"/>
      <c r="AG32" s="213"/>
      <c r="AH32" s="213"/>
      <c r="AI32" s="213"/>
      <c r="AJ32" s="248"/>
    </row>
    <row r="33" spans="1:37" s="131" customFormat="1" ht="13.5" x14ac:dyDescent="0.25">
      <c r="A33" s="211" t="s">
        <v>68</v>
      </c>
      <c r="B33" s="244" t="s">
        <v>312</v>
      </c>
      <c r="C33" s="244"/>
      <c r="D33" s="245"/>
      <c r="E33" s="245"/>
      <c r="F33" s="245"/>
      <c r="G33" s="245"/>
      <c r="H33" s="245"/>
      <c r="I33" s="245"/>
      <c r="J33" s="245"/>
      <c r="K33" s="245"/>
      <c r="L33" s="245"/>
      <c r="M33" s="245"/>
      <c r="N33" s="245"/>
      <c r="O33" s="245"/>
      <c r="P33" s="245"/>
      <c r="Q33" s="245"/>
      <c r="R33" s="245"/>
      <c r="S33" s="245"/>
      <c r="T33" s="245"/>
      <c r="U33" s="245"/>
      <c r="V33" s="245"/>
      <c r="W33" s="245"/>
      <c r="X33" s="217"/>
      <c r="Y33" s="217"/>
      <c r="Z33" s="217"/>
      <c r="AA33" s="217"/>
      <c r="AB33" s="217"/>
      <c r="AC33" s="217"/>
      <c r="AD33" s="245"/>
      <c r="AE33" s="245"/>
      <c r="AF33" s="245"/>
      <c r="AG33" s="214"/>
      <c r="AH33" s="214"/>
      <c r="AI33" s="214"/>
      <c r="AJ33" s="249"/>
      <c r="AK33" s="129"/>
    </row>
    <row r="34" spans="1:37" s="129" customFormat="1" ht="13.5" x14ac:dyDescent="0.25">
      <c r="A34" s="210" t="s">
        <v>69</v>
      </c>
      <c r="B34" s="242" t="s">
        <v>313</v>
      </c>
      <c r="C34" s="242"/>
      <c r="D34" s="243"/>
      <c r="E34" s="243"/>
      <c r="F34" s="243"/>
      <c r="G34" s="243"/>
      <c r="H34" s="243"/>
      <c r="I34" s="243"/>
      <c r="J34" s="243"/>
      <c r="K34" s="243"/>
      <c r="L34" s="243"/>
      <c r="M34" s="243"/>
      <c r="N34" s="243"/>
      <c r="O34" s="243"/>
      <c r="P34" s="243"/>
      <c r="Q34" s="243"/>
      <c r="R34" s="243"/>
      <c r="S34" s="243"/>
      <c r="T34" s="243"/>
      <c r="U34" s="243"/>
      <c r="V34" s="243"/>
      <c r="W34" s="243"/>
      <c r="X34" s="216"/>
      <c r="Y34" s="216"/>
      <c r="Z34" s="216"/>
      <c r="AA34" s="216"/>
      <c r="AB34" s="216"/>
      <c r="AC34" s="216"/>
      <c r="AD34" s="243"/>
      <c r="AE34" s="243"/>
      <c r="AF34" s="243"/>
      <c r="AG34" s="213"/>
      <c r="AH34" s="213"/>
      <c r="AI34" s="213"/>
      <c r="AJ34" s="248"/>
    </row>
    <row r="35" spans="1:37" s="131" customFormat="1" ht="13.5" x14ac:dyDescent="0.25">
      <c r="A35" s="211" t="s">
        <v>70</v>
      </c>
      <c r="B35" s="244" t="s">
        <v>314</v>
      </c>
      <c r="C35" s="244"/>
      <c r="D35" s="245"/>
      <c r="E35" s="245"/>
      <c r="F35" s="245"/>
      <c r="G35" s="245"/>
      <c r="H35" s="245"/>
      <c r="I35" s="245"/>
      <c r="J35" s="245"/>
      <c r="K35" s="245"/>
      <c r="L35" s="245"/>
      <c r="M35" s="245"/>
      <c r="N35" s="245"/>
      <c r="O35" s="245"/>
      <c r="P35" s="245"/>
      <c r="Q35" s="245"/>
      <c r="R35" s="245"/>
      <c r="S35" s="245"/>
      <c r="T35" s="245"/>
      <c r="U35" s="245"/>
      <c r="V35" s="245"/>
      <c r="W35" s="245"/>
      <c r="X35" s="217"/>
      <c r="Y35" s="217"/>
      <c r="Z35" s="217"/>
      <c r="AA35" s="217"/>
      <c r="AB35" s="217"/>
      <c r="AC35" s="217"/>
      <c r="AD35" s="245"/>
      <c r="AE35" s="245"/>
      <c r="AF35" s="245"/>
      <c r="AG35" s="214"/>
      <c r="AH35" s="214"/>
      <c r="AI35" s="214"/>
      <c r="AJ35" s="249"/>
      <c r="AK35" s="129"/>
    </row>
    <row r="36" spans="1:37" s="129" customFormat="1" ht="13.5" x14ac:dyDescent="0.25">
      <c r="A36" s="210" t="s">
        <v>71</v>
      </c>
      <c r="B36" s="242" t="s">
        <v>315</v>
      </c>
      <c r="C36" s="242"/>
      <c r="D36" s="243"/>
      <c r="E36" s="243"/>
      <c r="F36" s="243"/>
      <c r="G36" s="243"/>
      <c r="H36" s="243"/>
      <c r="I36" s="243"/>
      <c r="J36" s="243"/>
      <c r="K36" s="243"/>
      <c r="L36" s="243"/>
      <c r="M36" s="243"/>
      <c r="N36" s="243"/>
      <c r="O36" s="243"/>
      <c r="P36" s="243"/>
      <c r="Q36" s="243"/>
      <c r="R36" s="243"/>
      <c r="S36" s="243"/>
      <c r="T36" s="243"/>
      <c r="U36" s="243"/>
      <c r="V36" s="243"/>
      <c r="W36" s="243"/>
      <c r="X36" s="216"/>
      <c r="Y36" s="216"/>
      <c r="Z36" s="216"/>
      <c r="AA36" s="216"/>
      <c r="AB36" s="216"/>
      <c r="AC36" s="216"/>
      <c r="AD36" s="243"/>
      <c r="AE36" s="243"/>
      <c r="AF36" s="243"/>
      <c r="AG36" s="213"/>
      <c r="AH36" s="213"/>
      <c r="AI36" s="213"/>
      <c r="AJ36" s="248"/>
    </row>
    <row r="37" spans="1:37" s="131" customFormat="1" ht="13.5" x14ac:dyDescent="0.25">
      <c r="A37" s="211" t="s">
        <v>72</v>
      </c>
      <c r="B37" s="244" t="s">
        <v>316</v>
      </c>
      <c r="C37" s="244"/>
      <c r="D37" s="245"/>
      <c r="E37" s="245"/>
      <c r="F37" s="245"/>
      <c r="G37" s="245"/>
      <c r="H37" s="245"/>
      <c r="I37" s="245"/>
      <c r="J37" s="245"/>
      <c r="K37" s="245"/>
      <c r="L37" s="245"/>
      <c r="M37" s="245"/>
      <c r="N37" s="245"/>
      <c r="O37" s="245"/>
      <c r="P37" s="245"/>
      <c r="Q37" s="245"/>
      <c r="R37" s="245"/>
      <c r="S37" s="245"/>
      <c r="T37" s="245"/>
      <c r="U37" s="245"/>
      <c r="V37" s="245"/>
      <c r="W37" s="245"/>
      <c r="X37" s="217"/>
      <c r="Y37" s="217"/>
      <c r="Z37" s="217"/>
      <c r="AA37" s="217"/>
      <c r="AB37" s="217"/>
      <c r="AC37" s="217"/>
      <c r="AD37" s="245"/>
      <c r="AE37" s="245"/>
      <c r="AF37" s="245"/>
      <c r="AG37" s="214"/>
      <c r="AH37" s="214"/>
      <c r="AI37" s="214"/>
      <c r="AJ37" s="249"/>
      <c r="AK37" s="129"/>
    </row>
    <row r="38" spans="1:37" s="129" customFormat="1" ht="13.5" x14ac:dyDescent="0.25">
      <c r="A38" s="210" t="s">
        <v>73</v>
      </c>
      <c r="B38" s="242" t="s">
        <v>317</v>
      </c>
      <c r="C38" s="242"/>
      <c r="D38" s="243"/>
      <c r="E38" s="243"/>
      <c r="F38" s="243"/>
      <c r="G38" s="243"/>
      <c r="H38" s="243"/>
      <c r="I38" s="243"/>
      <c r="J38" s="243"/>
      <c r="K38" s="243"/>
      <c r="L38" s="243"/>
      <c r="M38" s="243"/>
      <c r="N38" s="243"/>
      <c r="O38" s="243"/>
      <c r="P38" s="243"/>
      <c r="Q38" s="243"/>
      <c r="R38" s="243"/>
      <c r="S38" s="243"/>
      <c r="T38" s="243"/>
      <c r="U38" s="243"/>
      <c r="V38" s="243"/>
      <c r="W38" s="243"/>
      <c r="X38" s="216"/>
      <c r="Y38" s="216"/>
      <c r="Z38" s="216"/>
      <c r="AA38" s="216"/>
      <c r="AB38" s="216"/>
      <c r="AC38" s="216"/>
      <c r="AD38" s="243"/>
      <c r="AE38" s="243"/>
      <c r="AF38" s="243"/>
      <c r="AG38" s="213"/>
      <c r="AH38" s="213"/>
      <c r="AI38" s="213"/>
      <c r="AJ38" s="248"/>
    </row>
    <row r="39" spans="1:37" s="131" customFormat="1" ht="13.5" x14ac:dyDescent="0.25">
      <c r="A39" s="211" t="s">
        <v>74</v>
      </c>
      <c r="B39" s="244" t="s">
        <v>318</v>
      </c>
      <c r="C39" s="244"/>
      <c r="D39" s="245"/>
      <c r="E39" s="245"/>
      <c r="F39" s="245"/>
      <c r="G39" s="245"/>
      <c r="H39" s="245"/>
      <c r="I39" s="245"/>
      <c r="J39" s="245"/>
      <c r="K39" s="245"/>
      <c r="L39" s="245"/>
      <c r="M39" s="245"/>
      <c r="N39" s="245"/>
      <c r="O39" s="245"/>
      <c r="P39" s="245"/>
      <c r="Q39" s="245"/>
      <c r="R39" s="245"/>
      <c r="S39" s="245"/>
      <c r="T39" s="245"/>
      <c r="U39" s="245"/>
      <c r="V39" s="245"/>
      <c r="W39" s="245"/>
      <c r="X39" s="217"/>
      <c r="Y39" s="217"/>
      <c r="Z39" s="217"/>
      <c r="AA39" s="217"/>
      <c r="AB39" s="217"/>
      <c r="AC39" s="217"/>
      <c r="AD39" s="245"/>
      <c r="AE39" s="245"/>
      <c r="AF39" s="245"/>
      <c r="AG39" s="214"/>
      <c r="AH39" s="214"/>
      <c r="AI39" s="214"/>
      <c r="AJ39" s="249"/>
      <c r="AK39" s="129"/>
    </row>
    <row r="40" spans="1:37" s="129" customFormat="1" ht="13.5" x14ac:dyDescent="0.25">
      <c r="A40" s="210" t="s">
        <v>75</v>
      </c>
      <c r="B40" s="242" t="s">
        <v>319</v>
      </c>
      <c r="C40" s="242"/>
      <c r="D40" s="243"/>
      <c r="E40" s="243"/>
      <c r="F40" s="243"/>
      <c r="G40" s="243"/>
      <c r="H40" s="243"/>
      <c r="I40" s="243"/>
      <c r="J40" s="243"/>
      <c r="K40" s="243"/>
      <c r="L40" s="243"/>
      <c r="M40" s="243"/>
      <c r="N40" s="243"/>
      <c r="O40" s="243"/>
      <c r="P40" s="243"/>
      <c r="Q40" s="243"/>
      <c r="R40" s="243"/>
      <c r="S40" s="243"/>
      <c r="T40" s="243"/>
      <c r="U40" s="243"/>
      <c r="V40" s="243"/>
      <c r="W40" s="243"/>
      <c r="X40" s="216"/>
      <c r="Y40" s="216"/>
      <c r="Z40" s="216"/>
      <c r="AA40" s="216"/>
      <c r="AB40" s="216"/>
      <c r="AC40" s="216"/>
      <c r="AD40" s="243"/>
      <c r="AE40" s="243"/>
      <c r="AF40" s="243"/>
      <c r="AG40" s="213"/>
      <c r="AH40" s="213"/>
      <c r="AI40" s="213"/>
      <c r="AJ40" s="248"/>
    </row>
    <row r="41" spans="1:37" s="131" customFormat="1" ht="13.5" x14ac:dyDescent="0.25">
      <c r="A41" s="211" t="s">
        <v>76</v>
      </c>
      <c r="B41" s="244" t="s">
        <v>320</v>
      </c>
      <c r="C41" s="244"/>
      <c r="D41" s="245"/>
      <c r="E41" s="245"/>
      <c r="F41" s="245"/>
      <c r="G41" s="245"/>
      <c r="H41" s="245"/>
      <c r="I41" s="245"/>
      <c r="J41" s="245"/>
      <c r="K41" s="245"/>
      <c r="L41" s="245"/>
      <c r="M41" s="245"/>
      <c r="N41" s="245"/>
      <c r="O41" s="245"/>
      <c r="P41" s="245"/>
      <c r="Q41" s="245"/>
      <c r="R41" s="245"/>
      <c r="S41" s="245"/>
      <c r="T41" s="245"/>
      <c r="U41" s="245"/>
      <c r="V41" s="245"/>
      <c r="W41" s="245"/>
      <c r="X41" s="217"/>
      <c r="Y41" s="217"/>
      <c r="Z41" s="217"/>
      <c r="AA41" s="217"/>
      <c r="AB41" s="217"/>
      <c r="AC41" s="217"/>
      <c r="AD41" s="245"/>
      <c r="AE41" s="245"/>
      <c r="AF41" s="245"/>
      <c r="AG41" s="214"/>
      <c r="AH41" s="214"/>
      <c r="AI41" s="214"/>
      <c r="AJ41" s="249"/>
      <c r="AK41" s="129"/>
    </row>
    <row r="42" spans="1:37" s="129" customFormat="1" ht="13.5" x14ac:dyDescent="0.25">
      <c r="A42" s="210" t="s">
        <v>77</v>
      </c>
      <c r="B42" s="242" t="s">
        <v>321</v>
      </c>
      <c r="C42" s="242"/>
      <c r="D42" s="243"/>
      <c r="E42" s="243"/>
      <c r="F42" s="243"/>
      <c r="G42" s="243"/>
      <c r="H42" s="243"/>
      <c r="I42" s="243"/>
      <c r="J42" s="243"/>
      <c r="K42" s="243"/>
      <c r="L42" s="243"/>
      <c r="M42" s="243"/>
      <c r="N42" s="243"/>
      <c r="O42" s="243"/>
      <c r="P42" s="243"/>
      <c r="Q42" s="243"/>
      <c r="R42" s="243"/>
      <c r="S42" s="243"/>
      <c r="T42" s="243"/>
      <c r="U42" s="243"/>
      <c r="V42" s="243"/>
      <c r="W42" s="243"/>
      <c r="X42" s="216"/>
      <c r="Y42" s="216"/>
      <c r="Z42" s="216"/>
      <c r="AA42" s="216"/>
      <c r="AB42" s="216"/>
      <c r="AC42" s="216"/>
      <c r="AD42" s="243"/>
      <c r="AE42" s="243"/>
      <c r="AF42" s="243"/>
      <c r="AG42" s="213"/>
      <c r="AH42" s="213"/>
      <c r="AI42" s="213"/>
      <c r="AJ42" s="248"/>
    </row>
    <row r="43" spans="1:37" s="131" customFormat="1" ht="13.5" x14ac:dyDescent="0.25">
      <c r="A43" s="211" t="s">
        <v>78</v>
      </c>
      <c r="B43" s="244" t="s">
        <v>322</v>
      </c>
      <c r="C43" s="244"/>
      <c r="D43" s="245"/>
      <c r="E43" s="245"/>
      <c r="F43" s="245"/>
      <c r="G43" s="245"/>
      <c r="H43" s="245"/>
      <c r="I43" s="245"/>
      <c r="J43" s="245"/>
      <c r="K43" s="245"/>
      <c r="L43" s="245"/>
      <c r="M43" s="245"/>
      <c r="N43" s="245"/>
      <c r="O43" s="245"/>
      <c r="P43" s="245"/>
      <c r="Q43" s="245"/>
      <c r="R43" s="245"/>
      <c r="S43" s="245"/>
      <c r="T43" s="245"/>
      <c r="U43" s="245"/>
      <c r="V43" s="245"/>
      <c r="W43" s="245"/>
      <c r="X43" s="217"/>
      <c r="Y43" s="217"/>
      <c r="Z43" s="217"/>
      <c r="AA43" s="217"/>
      <c r="AB43" s="217"/>
      <c r="AC43" s="217"/>
      <c r="AD43" s="245"/>
      <c r="AE43" s="245"/>
      <c r="AF43" s="245"/>
      <c r="AG43" s="214"/>
      <c r="AH43" s="214"/>
      <c r="AI43" s="214"/>
      <c r="AJ43" s="249"/>
      <c r="AK43" s="129"/>
    </row>
    <row r="44" spans="1:37" s="129" customFormat="1" ht="13.5" x14ac:dyDescent="0.25">
      <c r="A44" s="210" t="s">
        <v>79</v>
      </c>
      <c r="B44" s="242" t="s">
        <v>323</v>
      </c>
      <c r="C44" s="242"/>
      <c r="D44" s="243"/>
      <c r="E44" s="243"/>
      <c r="F44" s="243"/>
      <c r="G44" s="243"/>
      <c r="H44" s="243"/>
      <c r="I44" s="243"/>
      <c r="J44" s="243"/>
      <c r="K44" s="243"/>
      <c r="L44" s="243"/>
      <c r="M44" s="243"/>
      <c r="N44" s="243"/>
      <c r="O44" s="243"/>
      <c r="P44" s="243"/>
      <c r="Q44" s="243"/>
      <c r="R44" s="243"/>
      <c r="S44" s="243"/>
      <c r="T44" s="243"/>
      <c r="U44" s="243"/>
      <c r="V44" s="243"/>
      <c r="W44" s="243"/>
      <c r="X44" s="216"/>
      <c r="Y44" s="216"/>
      <c r="Z44" s="216"/>
      <c r="AA44" s="216"/>
      <c r="AB44" s="216"/>
      <c r="AC44" s="216"/>
      <c r="AD44" s="243"/>
      <c r="AE44" s="243"/>
      <c r="AF44" s="243"/>
      <c r="AG44" s="213"/>
      <c r="AH44" s="213"/>
      <c r="AI44" s="213"/>
      <c r="AJ44" s="248"/>
    </row>
    <row r="45" spans="1:37" s="131" customFormat="1" ht="13.5" x14ac:dyDescent="0.25">
      <c r="A45" s="211" t="s">
        <v>80</v>
      </c>
      <c r="B45" s="246" t="s">
        <v>324</v>
      </c>
      <c r="C45" s="246"/>
      <c r="D45" s="247"/>
      <c r="E45" s="247"/>
      <c r="F45" s="247"/>
      <c r="G45" s="247"/>
      <c r="H45" s="247"/>
      <c r="I45" s="247"/>
      <c r="J45" s="247"/>
      <c r="K45" s="247"/>
      <c r="L45" s="247"/>
      <c r="M45" s="247"/>
      <c r="N45" s="247"/>
      <c r="O45" s="247"/>
      <c r="P45" s="247"/>
      <c r="Q45" s="247"/>
      <c r="R45" s="247"/>
      <c r="S45" s="247"/>
      <c r="T45" s="247"/>
      <c r="U45" s="247"/>
      <c r="V45" s="247"/>
      <c r="W45" s="247"/>
      <c r="X45" s="218"/>
      <c r="Y45" s="218"/>
      <c r="Z45" s="218"/>
      <c r="AA45" s="218"/>
      <c r="AB45" s="218"/>
      <c r="AC45" s="218"/>
      <c r="AD45" s="247"/>
      <c r="AE45" s="247"/>
      <c r="AF45" s="247"/>
      <c r="AG45" s="215"/>
      <c r="AH45" s="215"/>
      <c r="AI45" s="215"/>
      <c r="AJ45" s="250"/>
      <c r="AK45" s="129"/>
    </row>
    <row r="46" spans="1:37" s="129" customFormat="1" x14ac:dyDescent="0.25">
      <c r="A46" s="212" t="s">
        <v>513</v>
      </c>
      <c r="B46" s="171" t="s">
        <v>514</v>
      </c>
      <c r="C46" s="172"/>
      <c r="D46" s="113"/>
      <c r="E46" s="113"/>
      <c r="F46" s="113"/>
      <c r="G46" s="113"/>
      <c r="H46" s="113"/>
      <c r="I46" s="113"/>
      <c r="J46" s="113"/>
      <c r="K46" s="113"/>
      <c r="L46" s="113"/>
      <c r="M46" s="113"/>
      <c r="N46" s="113"/>
      <c r="O46" s="113"/>
      <c r="P46" s="113"/>
      <c r="Q46" s="113"/>
      <c r="R46" s="113"/>
      <c r="S46" s="113"/>
      <c r="T46" s="113"/>
      <c r="U46" s="113"/>
      <c r="V46" s="113"/>
      <c r="W46" s="113"/>
      <c r="X46" s="173"/>
      <c r="Y46" s="173"/>
      <c r="Z46" s="173"/>
      <c r="AA46" s="173"/>
      <c r="AB46" s="173"/>
      <c r="AC46" s="173"/>
      <c r="AD46" s="113"/>
      <c r="AE46" s="113"/>
      <c r="AF46" s="113"/>
      <c r="AG46" s="113"/>
      <c r="AH46" s="113"/>
      <c r="AI46" s="113"/>
      <c r="AJ46" s="113"/>
    </row>
    <row r="47" spans="1:37" s="87" customFormat="1" ht="13.5" x14ac:dyDescent="0.25">
      <c r="A47" s="143"/>
      <c r="B47" s="140"/>
      <c r="C47" s="141"/>
      <c r="D47" s="126"/>
      <c r="E47" s="126"/>
      <c r="F47" s="126"/>
      <c r="G47" s="126"/>
      <c r="H47" s="126"/>
      <c r="I47" s="126"/>
      <c r="J47" s="126"/>
      <c r="K47" s="126"/>
      <c r="L47" s="126"/>
      <c r="M47" s="126"/>
      <c r="N47" s="126"/>
      <c r="O47" s="126"/>
      <c r="P47" s="126"/>
      <c r="Q47" s="126"/>
      <c r="R47" s="126"/>
      <c r="S47" s="126"/>
      <c r="T47" s="126"/>
      <c r="U47" s="126"/>
      <c r="V47" s="126"/>
      <c r="W47" s="126"/>
      <c r="X47" s="142"/>
      <c r="Y47" s="142"/>
      <c r="Z47" s="142"/>
      <c r="AA47" s="142"/>
      <c r="AB47" s="142"/>
      <c r="AC47" s="142"/>
      <c r="AD47" s="126"/>
      <c r="AE47" s="126"/>
      <c r="AF47" s="126"/>
      <c r="AG47" s="126"/>
      <c r="AH47" s="126"/>
      <c r="AI47" s="126"/>
      <c r="AJ47" s="126"/>
    </row>
    <row r="48" spans="1:37" s="80" customFormat="1" ht="135" customHeight="1" x14ac:dyDescent="0.25">
      <c r="A48" s="122" t="s">
        <v>106</v>
      </c>
      <c r="B48" s="109"/>
      <c r="C48" s="110" t="s">
        <v>123</v>
      </c>
      <c r="D48" s="109"/>
      <c r="E48" s="85"/>
      <c r="F48" s="85"/>
      <c r="G48" s="85"/>
      <c r="H48" s="85"/>
      <c r="I48" s="85"/>
      <c r="J48" s="85"/>
      <c r="K48" s="85"/>
      <c r="L48" s="85"/>
      <c r="M48" s="85"/>
      <c r="N48" s="85"/>
      <c r="O48" s="85"/>
      <c r="P48" s="85"/>
      <c r="Q48" s="85"/>
      <c r="R48" s="85"/>
      <c r="S48" s="85"/>
      <c r="T48" s="85"/>
      <c r="U48" s="85"/>
      <c r="V48" s="85"/>
      <c r="W48" s="85"/>
      <c r="X48" s="85"/>
      <c r="Y48" s="85"/>
      <c r="Z48" s="85"/>
      <c r="AA48" s="85"/>
      <c r="AB48" s="85"/>
      <c r="AC48" s="85"/>
      <c r="AD48" s="85"/>
      <c r="AE48" s="85"/>
      <c r="AF48" s="113"/>
      <c r="AG48" s="85"/>
      <c r="AH48" s="85"/>
      <c r="AI48" s="85"/>
      <c r="AJ48" s="85"/>
      <c r="AK48" s="85"/>
    </row>
    <row r="49" spans="1:37" s="80" customFormat="1" x14ac:dyDescent="0.25">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c r="AA49" s="85"/>
      <c r="AB49" s="85"/>
      <c r="AC49" s="85"/>
      <c r="AD49" s="85"/>
      <c r="AE49" s="85"/>
      <c r="AF49" s="113"/>
      <c r="AG49" s="85"/>
      <c r="AH49" s="85"/>
      <c r="AI49" s="85"/>
      <c r="AJ49" s="85"/>
      <c r="AK49" s="85"/>
    </row>
    <row r="50" spans="1:37" s="81" customFormat="1" hidden="1" x14ac:dyDescent="0.25">
      <c r="A50" s="80"/>
      <c r="B50" s="78"/>
      <c r="C50" s="78"/>
      <c r="D50" s="78"/>
      <c r="E50" s="78"/>
      <c r="F50" s="78"/>
      <c r="G50" s="78"/>
      <c r="H50" s="78"/>
      <c r="I50" s="78"/>
      <c r="J50" s="78"/>
      <c r="K50" s="78"/>
      <c r="L50" s="78"/>
      <c r="M50" s="78"/>
      <c r="N50" s="78"/>
      <c r="O50" s="78"/>
      <c r="P50" s="78"/>
      <c r="Q50" s="78"/>
      <c r="R50" s="78"/>
      <c r="S50" s="78"/>
      <c r="T50" s="78"/>
      <c r="U50" s="78"/>
      <c r="V50" s="78"/>
      <c r="W50" s="78"/>
      <c r="X50" s="78"/>
      <c r="Y50" s="78"/>
      <c r="Z50" s="78"/>
      <c r="AA50" s="78"/>
      <c r="AB50" s="78"/>
      <c r="AC50" s="78"/>
      <c r="AD50" s="78"/>
      <c r="AE50" s="78"/>
      <c r="AF50" s="114"/>
      <c r="AK50" s="88"/>
    </row>
    <row r="51" spans="1:37" hidden="1" x14ac:dyDescent="0.25">
      <c r="A51" s="83"/>
      <c r="B51" s="82"/>
      <c r="C51" s="82"/>
      <c r="D51" s="82"/>
      <c r="E51" s="82"/>
      <c r="F51" s="82"/>
      <c r="G51" s="82"/>
      <c r="H51" s="82"/>
      <c r="I51" s="82"/>
      <c r="J51" s="82"/>
      <c r="K51" s="82"/>
      <c r="L51" s="82"/>
      <c r="M51" s="82"/>
      <c r="N51" s="82"/>
      <c r="O51" s="82"/>
      <c r="P51" s="82"/>
      <c r="Q51" s="82"/>
      <c r="R51" s="82"/>
      <c r="S51" s="82"/>
      <c r="T51" s="82"/>
      <c r="U51" s="82"/>
      <c r="V51" s="82"/>
      <c r="W51" s="82"/>
      <c r="X51" s="82"/>
      <c r="Y51" s="82"/>
      <c r="Z51" s="82"/>
      <c r="AA51" s="83"/>
      <c r="AB51" s="83"/>
    </row>
    <row r="52" spans="1:37" hidden="1" x14ac:dyDescent="0.25">
      <c r="A52" s="83"/>
      <c r="B52" s="82"/>
      <c r="C52" s="82"/>
      <c r="D52" s="82"/>
      <c r="E52" s="82"/>
      <c r="F52" s="82"/>
      <c r="G52" s="82"/>
      <c r="H52" s="82"/>
      <c r="I52" s="82"/>
      <c r="J52" s="82"/>
      <c r="K52" s="82"/>
      <c r="L52" s="82"/>
      <c r="M52" s="82"/>
      <c r="N52" s="82"/>
      <c r="O52" s="82"/>
      <c r="P52" s="82"/>
      <c r="Q52" s="82"/>
      <c r="R52" s="82"/>
      <c r="S52" s="82"/>
      <c r="T52" s="82"/>
      <c r="U52" s="82"/>
      <c r="V52" s="82"/>
      <c r="W52" s="82"/>
      <c r="X52" s="82"/>
      <c r="Y52" s="82"/>
      <c r="Z52" s="82"/>
      <c r="AA52" s="83"/>
      <c r="AB52" s="83"/>
    </row>
    <row r="67" ht="12.75" hidden="1" customHeight="1" x14ac:dyDescent="0.25"/>
    <row r="80" ht="25.5" hidden="1" customHeight="1" x14ac:dyDescent="0.25"/>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J45">
    <cfRule type="expression" dxfId="208" priority="2">
      <formula>MOD(ROW(),2)=0</formula>
    </cfRule>
    <cfRule type="expression" dxfId="207" priority="27">
      <formula>MOD(ROW(),2)=1</formula>
    </cfRule>
  </conditionalFormatting>
  <dataValidations xWindow="1223" yWindow="445" count="10">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xr:uid="{00000000-0002-0000-0100-000006000000}">
      <formula1>LIST_PPrv</formula1>
    </dataValidation>
    <dataValidation type="list" allowBlank="1" showErrorMessage="1" prompt="Please select from the dropdown list" sqref="AE6: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s>
  <hyperlinks>
    <hyperlink ref="B46" location="'Poverty info'!A1" display="Click fill information on poverty" xr:uid="{00000000-0004-0000-0100-000000000000}"/>
    <hyperlink ref="E1:V1" r:id="rId3" display="Once completed, please return the questionnaire to: Valeria Nesterenko (socprodata@ilo.org)" xr:uid="{00000000-0004-0000-0100-000001000000}"/>
  </hyperlinks>
  <pageMargins left="0.25" right="0.25" top="0.75" bottom="0.75" header="0.3" footer="0.3"/>
  <pageSetup paperSize="8" scale="62"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3">
        <x14:dataValidation type="list" allowBlank="1" showInputMessage="1" showErrorMessage="1" xr:uid="{00000000-0002-0000-0100-00000A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B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 type="list" allowBlank="1" showInputMessage="1" showErrorMessage="1" prompt="Select from the dropdown" xr:uid="{00000000-0002-0000-0100-00000C000000}">
          <x14:formula1>
            <xm:f>HID_dropdown!$M$2:$M$5</xm:f>
          </x14:formula1>
          <xm:sqref>AG5:AI5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3" sqref="B3"/>
    </sheetView>
  </sheetViews>
  <sheetFormatPr defaultColWidth="0" defaultRowHeight="12.75"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1</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ory of Schemes'!B1" display="BACK to Inventory"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6">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2</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ory of Schemes'!B1" display="BACK to Inventory"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0E4F86A-1601-46DF-A3A7-FFC33F482B93}">
            <xm:f>$D5=HID_dropdown!$B$2</xm:f>
            <x14:dxf>
              <fill>
                <patternFill>
                  <bgColor rgb="FFF3EBF9"/>
                </patternFill>
              </fill>
            </x14:dxf>
          </x14:cfRule>
          <xm:sqref>W5:X19</xm:sqref>
        </x14:conditionalFormatting>
        <x14:conditionalFormatting xmlns:xm="http://schemas.microsoft.com/office/excel/2006/main">
          <x14:cfRule type="expression" priority="2" id="{95CA7D35-4D83-4FD8-88F2-D134A03182DD}">
            <xm:f>$O5=HID_dropdown!$G$3</xm:f>
            <x14:dxf>
              <fill>
                <patternFill>
                  <bgColor theme="1"/>
                </patternFill>
              </fill>
            </x14:dxf>
          </x14:cfRule>
          <xm:sqref>P5:R19</xm:sqref>
        </x14:conditionalFormatting>
        <x14:conditionalFormatting xmlns:xm="http://schemas.microsoft.com/office/excel/2006/main">
          <x14:cfRule type="expression" priority="3" id="{A2411A05-288D-4672-9C31-BD7339E1F7C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108AFF6-536E-445F-B8E5-A17A2206D0C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5">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3</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ory of Schemes'!B1" display="BACK to Inventory"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1C05C5E-D06D-4B60-822A-E8D7582147F3}">
            <xm:f>$D5=HID_dropdown!$B$2</xm:f>
            <x14:dxf>
              <fill>
                <patternFill>
                  <bgColor rgb="FFF3EBF9"/>
                </patternFill>
              </fill>
            </x14:dxf>
          </x14:cfRule>
          <xm:sqref>W5:X19</xm:sqref>
        </x14:conditionalFormatting>
        <x14:conditionalFormatting xmlns:xm="http://schemas.microsoft.com/office/excel/2006/main">
          <x14:cfRule type="expression" priority="2" id="{40A61DC7-FBAA-4767-B24C-28D312AA5731}">
            <xm:f>$O5=HID_dropdown!$G$3</xm:f>
            <x14:dxf>
              <fill>
                <patternFill>
                  <bgColor theme="1"/>
                </patternFill>
              </fill>
            </x14:dxf>
          </x14:cfRule>
          <xm:sqref>P5:R19</xm:sqref>
        </x14:conditionalFormatting>
        <x14:conditionalFormatting xmlns:xm="http://schemas.microsoft.com/office/excel/2006/main">
          <x14:cfRule type="expression" priority="3" id="{38BAFA75-97E4-4E88-94C3-4CA127FCB46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9521E67-F59D-4B4B-8ED0-8DAF9B2FD35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4">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4</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ory of Schemes'!B1" display="BACK to Inventory"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0DB90EC-AD0E-42EA-9B1F-C63A88873486}">
            <xm:f>$D5=HID_dropdown!$B$2</xm:f>
            <x14:dxf>
              <fill>
                <patternFill>
                  <bgColor rgb="FFF3EBF9"/>
                </patternFill>
              </fill>
            </x14:dxf>
          </x14:cfRule>
          <xm:sqref>W5:X19</xm:sqref>
        </x14:conditionalFormatting>
        <x14:conditionalFormatting xmlns:xm="http://schemas.microsoft.com/office/excel/2006/main">
          <x14:cfRule type="expression" priority="2" id="{046C6D24-E8FF-488E-B038-EEB1CEDD6E71}">
            <xm:f>$O5=HID_dropdown!$G$3</xm:f>
            <x14:dxf>
              <fill>
                <patternFill>
                  <bgColor theme="1"/>
                </patternFill>
              </fill>
            </x14:dxf>
          </x14:cfRule>
          <xm:sqref>P5:R19</xm:sqref>
        </x14:conditionalFormatting>
        <x14:conditionalFormatting xmlns:xm="http://schemas.microsoft.com/office/excel/2006/main">
          <x14:cfRule type="expression" priority="3" id="{88014905-9D6B-4C14-AD10-F9CCB1FD19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A501A152-0A74-435D-B007-F5B4168FC6A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5</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ory of Schemes'!B1" display="BACK to Inventory"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C826A-CE21-4412-852C-DB0AE6B823DF}">
            <xm:f>$D5=HID_dropdown!$B$2</xm:f>
            <x14:dxf>
              <fill>
                <patternFill>
                  <bgColor rgb="FFF3EBF9"/>
                </patternFill>
              </fill>
            </x14:dxf>
          </x14:cfRule>
          <xm:sqref>W5:X19</xm:sqref>
        </x14:conditionalFormatting>
        <x14:conditionalFormatting xmlns:xm="http://schemas.microsoft.com/office/excel/2006/main">
          <x14:cfRule type="expression" priority="2" id="{58637074-93AA-4F51-A69E-B7746761E9A3}">
            <xm:f>$O5=HID_dropdown!$G$3</xm:f>
            <x14:dxf>
              <fill>
                <patternFill>
                  <bgColor theme="1"/>
                </patternFill>
              </fill>
            </x14:dxf>
          </x14:cfRule>
          <xm:sqref>P5:R19</xm:sqref>
        </x14:conditionalFormatting>
        <x14:conditionalFormatting xmlns:xm="http://schemas.microsoft.com/office/excel/2006/main">
          <x14:cfRule type="expression" priority="3" id="{41E51906-F421-4689-AC22-9A58E94B6C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687CB97-5180-4FFA-A2AB-521B3241BE9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2">
    <pageSetUpPr autoPageBreaks="0"/>
  </sheetPr>
  <dimension ref="A1:AF22"/>
  <sheetViews>
    <sheetView tabSelected="1" workbookViewId="0">
      <pane xSplit="2" ySplit="4" topLeftCell="C5" activePane="bottomRight" state="frozen"/>
      <selection pane="topRight" activeCell="C1" sqref="C1"/>
      <selection pane="bottomLeft" activeCell="A5" sqref="A5"/>
      <selection pane="bottomRight" activeCell="I5" sqref="I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6</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ory of Schemes'!B1" display="BACK to Inventory"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BD90E06-4EF2-4A77-B8FE-5E8D9C04BB65}">
            <xm:f>$D5=HID_dropdown!$B$2</xm:f>
            <x14:dxf>
              <fill>
                <patternFill>
                  <bgColor rgb="FFF3EBF9"/>
                </patternFill>
              </fill>
            </x14:dxf>
          </x14:cfRule>
          <xm:sqref>W5:X19</xm:sqref>
        </x14:conditionalFormatting>
        <x14:conditionalFormatting xmlns:xm="http://schemas.microsoft.com/office/excel/2006/main">
          <x14:cfRule type="expression" priority="2" id="{17E70F0D-594E-4F0E-8661-390ACE39D179}">
            <xm:f>$O5=HID_dropdown!$G$3</xm:f>
            <x14:dxf>
              <fill>
                <patternFill>
                  <bgColor theme="1"/>
                </patternFill>
              </fill>
            </x14:dxf>
          </x14:cfRule>
          <xm:sqref>P5:R19</xm:sqref>
        </x14:conditionalFormatting>
        <x14:conditionalFormatting xmlns:xm="http://schemas.microsoft.com/office/excel/2006/main">
          <x14:cfRule type="expression" priority="3" id="{B6F1E660-77F2-48AA-BF9B-605EE4F42E7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62124A8-D152-4DE7-A08B-341DC5F5BA2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7</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ory of Schemes'!B1" display="BACK to Inventory"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DEF418-6E62-494E-8B62-73208F11560B}">
            <xm:f>$D5=HID_dropdown!$B$2</xm:f>
            <x14:dxf>
              <fill>
                <patternFill>
                  <bgColor rgb="FFF3EBF9"/>
                </patternFill>
              </fill>
            </x14:dxf>
          </x14:cfRule>
          <xm:sqref>W5:X19</xm:sqref>
        </x14:conditionalFormatting>
        <x14:conditionalFormatting xmlns:xm="http://schemas.microsoft.com/office/excel/2006/main">
          <x14:cfRule type="expression" priority="2" id="{7BD40D16-CA56-40CE-A4CD-8DCC91F3C1D6}">
            <xm:f>$O5=HID_dropdown!$G$3</xm:f>
            <x14:dxf>
              <fill>
                <patternFill>
                  <bgColor theme="1"/>
                </patternFill>
              </fill>
            </x14:dxf>
          </x14:cfRule>
          <xm:sqref>P5:R19</xm:sqref>
        </x14:conditionalFormatting>
        <x14:conditionalFormatting xmlns:xm="http://schemas.microsoft.com/office/excel/2006/main">
          <x14:cfRule type="expression" priority="3" id="{DCE6E059-A4A7-4A4B-B0C8-DE396565932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247E73FC-C881-460D-9258-FF332A6CBB5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0">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8</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ory of Schemes'!B1" display="BACK to Inventory"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E666061-6EB5-4931-B6D6-49D579D7AE8B}">
            <xm:f>$D5=HID_dropdown!$B$2</xm:f>
            <x14:dxf>
              <fill>
                <patternFill>
                  <bgColor rgb="FFF3EBF9"/>
                </patternFill>
              </fill>
            </x14:dxf>
          </x14:cfRule>
          <xm:sqref>W5:X19</xm:sqref>
        </x14:conditionalFormatting>
        <x14:conditionalFormatting xmlns:xm="http://schemas.microsoft.com/office/excel/2006/main">
          <x14:cfRule type="expression" priority="2" id="{94D50CC6-010F-4B48-8191-46A806DAC2BD}">
            <xm:f>$O5=HID_dropdown!$G$3</xm:f>
            <x14:dxf>
              <fill>
                <patternFill>
                  <bgColor theme="1"/>
                </patternFill>
              </fill>
            </x14:dxf>
          </x14:cfRule>
          <xm:sqref>P5:R19</xm:sqref>
        </x14:conditionalFormatting>
        <x14:conditionalFormatting xmlns:xm="http://schemas.microsoft.com/office/excel/2006/main">
          <x14:cfRule type="expression" priority="3" id="{79E5AF32-781B-4122-B4A2-A8879B4C5D3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2A8664-21A0-4BE3-80BF-49F702D7617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9">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9</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ory of Schemes'!B1" display="BACK to Inventory"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8056D69-0071-4929-9A34-A739638551FE}">
            <xm:f>$D5=HID_dropdown!$B$2</xm:f>
            <x14:dxf>
              <fill>
                <patternFill>
                  <bgColor rgb="FFF3EBF9"/>
                </patternFill>
              </fill>
            </x14:dxf>
          </x14:cfRule>
          <xm:sqref>W5:X19</xm:sqref>
        </x14:conditionalFormatting>
        <x14:conditionalFormatting xmlns:xm="http://schemas.microsoft.com/office/excel/2006/main">
          <x14:cfRule type="expression" priority="2" id="{1B873F01-D8F5-4B08-A605-164CE68C6DA5}">
            <xm:f>$O5=HID_dropdown!$G$3</xm:f>
            <x14:dxf>
              <fill>
                <patternFill>
                  <bgColor theme="1"/>
                </patternFill>
              </fill>
            </x14:dxf>
          </x14:cfRule>
          <xm:sqref>P5:R19</xm:sqref>
        </x14:conditionalFormatting>
        <x14:conditionalFormatting xmlns:xm="http://schemas.microsoft.com/office/excel/2006/main">
          <x14:cfRule type="expression" priority="3" id="{62CCB2EA-6E89-4374-B052-A87C17EAD723}">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0F7ECDA-4A15-4C86-868A-97BD5AE52AA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8">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10</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ory of Schemes'!B1" display="BACK to Inventory"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EE8243A-A5E8-44AA-87C7-41D9EF08FCA3}">
            <xm:f>$D5=HID_dropdown!$B$2</xm:f>
            <x14:dxf>
              <fill>
                <patternFill>
                  <bgColor rgb="FFF3EBF9"/>
                </patternFill>
              </fill>
            </x14:dxf>
          </x14:cfRule>
          <xm:sqref>W5:X19</xm:sqref>
        </x14:conditionalFormatting>
        <x14:conditionalFormatting xmlns:xm="http://schemas.microsoft.com/office/excel/2006/main">
          <x14:cfRule type="expression" priority="2" id="{2CC16BF0-50C4-4D9A-9C39-7B9FA46DB4D1}">
            <xm:f>$O5=HID_dropdown!$G$3</xm:f>
            <x14:dxf>
              <fill>
                <patternFill>
                  <bgColor theme="1"/>
                </patternFill>
              </fill>
            </x14:dxf>
          </x14:cfRule>
          <xm:sqref>P5:R19</xm:sqref>
        </x14:conditionalFormatting>
        <x14:conditionalFormatting xmlns:xm="http://schemas.microsoft.com/office/excel/2006/main">
          <x14:cfRule type="expression" priority="3" id="{DC835108-D054-491B-9C26-11BF2FD0A42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9512AE2-2071-45F1-8FE9-E78AC6446D2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7">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11</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ory of Schemes'!B1" display="BACK to Inventory"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C6B4116-1E76-461A-9866-EA0E0DF30099}">
            <xm:f>$D5=HID_dropdown!$B$2</xm:f>
            <x14:dxf>
              <fill>
                <patternFill>
                  <bgColor rgb="FFF3EBF9"/>
                </patternFill>
              </fill>
            </x14:dxf>
          </x14:cfRule>
          <xm:sqref>W5:X19</xm:sqref>
        </x14:conditionalFormatting>
        <x14:conditionalFormatting xmlns:xm="http://schemas.microsoft.com/office/excel/2006/main">
          <x14:cfRule type="expression" priority="2" id="{06B78F12-CAA3-4C3B-B60E-807F61B768EA}">
            <xm:f>$O5=HID_dropdown!$G$3</xm:f>
            <x14:dxf>
              <fill>
                <patternFill>
                  <bgColor theme="1"/>
                </patternFill>
              </fill>
            </x14:dxf>
          </x14:cfRule>
          <xm:sqref>P5:R19</xm:sqref>
        </x14:conditionalFormatting>
        <x14:conditionalFormatting xmlns:xm="http://schemas.microsoft.com/office/excel/2006/main">
          <x14:cfRule type="expression" priority="3" id="{ACC3849E-77E0-432F-8C4B-4342B72DA5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E675D5E-ED13-4683-94D8-81750AD2A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6">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12</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ory of Schemes'!B1" display="BACK to Inventory"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77B0921-9064-4584-BB12-D15FD60A9D40}">
            <xm:f>$D5=HID_dropdown!$B$2</xm:f>
            <x14:dxf>
              <fill>
                <patternFill>
                  <bgColor rgb="FFF3EBF9"/>
                </patternFill>
              </fill>
            </x14:dxf>
          </x14:cfRule>
          <xm:sqref>W5:X19</xm:sqref>
        </x14:conditionalFormatting>
        <x14:conditionalFormatting xmlns:xm="http://schemas.microsoft.com/office/excel/2006/main">
          <x14:cfRule type="expression" priority="2" id="{16820DD6-714D-4FF2-8F65-9140EC5CA61B}">
            <xm:f>$O5=HID_dropdown!$G$3</xm:f>
            <x14:dxf>
              <fill>
                <patternFill>
                  <bgColor theme="1"/>
                </patternFill>
              </fill>
            </x14:dxf>
          </x14:cfRule>
          <xm:sqref>P5:R19</xm:sqref>
        </x14:conditionalFormatting>
        <x14:conditionalFormatting xmlns:xm="http://schemas.microsoft.com/office/excel/2006/main">
          <x14:cfRule type="expression" priority="3" id="{5A27AFF2-82EF-467E-AB50-A9407ADE49E3}">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9DCB0D4-7FB9-474F-8C98-2409D63A4B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13</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ory of Schemes'!B1" display="BACK to Inventory"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B7145C3-6A11-4118-ABC7-C6483B3E4605}">
            <xm:f>$D5=HID_dropdown!$B$2</xm:f>
            <x14:dxf>
              <fill>
                <patternFill>
                  <bgColor rgb="FFF3EBF9"/>
                </patternFill>
              </fill>
            </x14:dxf>
          </x14:cfRule>
          <xm:sqref>W5:X19</xm:sqref>
        </x14:conditionalFormatting>
        <x14:conditionalFormatting xmlns:xm="http://schemas.microsoft.com/office/excel/2006/main">
          <x14:cfRule type="expression" priority="2" id="{D03F9BC6-1DC8-43DF-8F5D-1C8E400DA838}">
            <xm:f>$O5=HID_dropdown!$G$3</xm:f>
            <x14:dxf>
              <fill>
                <patternFill>
                  <bgColor theme="1"/>
                </patternFill>
              </fill>
            </x14:dxf>
          </x14:cfRule>
          <xm:sqref>P5:R19</xm:sqref>
        </x14:conditionalFormatting>
        <x14:conditionalFormatting xmlns:xm="http://schemas.microsoft.com/office/excel/2006/main">
          <x14:cfRule type="expression" priority="3" id="{8E4C6382-B584-484C-B404-A5EF6531534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6ACD6DD-E25B-4D58-AB86-83E9D351FAC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4">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14</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ory of Schemes'!B1" display="BACK to Inventory"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D07AE27-6964-43E4-8037-4D1CC504A1CB}">
            <xm:f>$D5=HID_dropdown!$B$2</xm:f>
            <x14:dxf>
              <fill>
                <patternFill>
                  <bgColor rgb="FFF3EBF9"/>
                </patternFill>
              </fill>
            </x14:dxf>
          </x14:cfRule>
          <xm:sqref>W5:X19</xm:sqref>
        </x14:conditionalFormatting>
        <x14:conditionalFormatting xmlns:xm="http://schemas.microsoft.com/office/excel/2006/main">
          <x14:cfRule type="expression" priority="2" id="{9CE7FC45-9C6D-4B61-973E-CEE7D0CCFF1D}">
            <xm:f>$O5=HID_dropdown!$G$3</xm:f>
            <x14:dxf>
              <fill>
                <patternFill>
                  <bgColor theme="1"/>
                </patternFill>
              </fill>
            </x14:dxf>
          </x14:cfRule>
          <xm:sqref>P5:R19</xm:sqref>
        </x14:conditionalFormatting>
        <x14:conditionalFormatting xmlns:xm="http://schemas.microsoft.com/office/excel/2006/main">
          <x14:cfRule type="expression" priority="3" id="{95272AAA-7112-4917-AA37-885DBE2A7F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22189C0-D83F-414A-B03F-703CDE2EAEE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3">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15</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ory of Schemes'!B1" display="BACK to Inventory"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2CE5B6A4-C1A0-4DB1-BEC1-C9B15EF7DD68}">
            <xm:f>$D5=HID_dropdown!$B$2</xm:f>
            <x14:dxf>
              <fill>
                <patternFill>
                  <bgColor rgb="FFF3EBF9"/>
                </patternFill>
              </fill>
            </x14:dxf>
          </x14:cfRule>
          <xm:sqref>W5:X19</xm:sqref>
        </x14:conditionalFormatting>
        <x14:conditionalFormatting xmlns:xm="http://schemas.microsoft.com/office/excel/2006/main">
          <x14:cfRule type="expression" priority="2" id="{48FC224F-42B0-456B-A3B4-9C32689543FF}">
            <xm:f>$O5=HID_dropdown!$G$3</xm:f>
            <x14:dxf>
              <fill>
                <patternFill>
                  <bgColor theme="1"/>
                </patternFill>
              </fill>
            </x14:dxf>
          </x14:cfRule>
          <xm:sqref>P5:R19</xm:sqref>
        </x14:conditionalFormatting>
        <x14:conditionalFormatting xmlns:xm="http://schemas.microsoft.com/office/excel/2006/main">
          <x14:cfRule type="expression" priority="3" id="{C0C9DD31-7648-4D7B-AE1E-52F7B007995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07D0F09-64B7-466E-87A3-A7DE0BC4AF7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2">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16</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ory of Schemes'!B1" display="BACK to Inventory"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8D95648-0CA0-4A11-9FD0-7D25EAA92DE3}">
            <xm:f>$D5=HID_dropdown!$B$2</xm:f>
            <x14:dxf>
              <fill>
                <patternFill>
                  <bgColor rgb="FFF3EBF9"/>
                </patternFill>
              </fill>
            </x14:dxf>
          </x14:cfRule>
          <xm:sqref>W5:X19</xm:sqref>
        </x14:conditionalFormatting>
        <x14:conditionalFormatting xmlns:xm="http://schemas.microsoft.com/office/excel/2006/main">
          <x14:cfRule type="expression" priority="2" id="{3E07A2A3-A6A7-4EAA-8452-BF59F5BD6EA6}">
            <xm:f>$O5=HID_dropdown!$G$3</xm:f>
            <x14:dxf>
              <fill>
                <patternFill>
                  <bgColor theme="1"/>
                </patternFill>
              </fill>
            </x14:dxf>
          </x14:cfRule>
          <xm:sqref>P5:R19</xm:sqref>
        </x14:conditionalFormatting>
        <x14:conditionalFormatting xmlns:xm="http://schemas.microsoft.com/office/excel/2006/main">
          <x14:cfRule type="expression" priority="3" id="{DE8CE710-0936-4096-A2FD-FA12938F3F5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B51BC1-1A9E-464C-A9E4-06C723656F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17</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ory of Schemes'!B1" display="BACK to Inventory"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4012D0A-6E21-4995-AE3F-8268E8FA8284}">
            <xm:f>$D5=HID_dropdown!$B$2</xm:f>
            <x14:dxf>
              <fill>
                <patternFill>
                  <bgColor rgb="FFF3EBF9"/>
                </patternFill>
              </fill>
            </x14:dxf>
          </x14:cfRule>
          <xm:sqref>W5:X19</xm:sqref>
        </x14:conditionalFormatting>
        <x14:conditionalFormatting xmlns:xm="http://schemas.microsoft.com/office/excel/2006/main">
          <x14:cfRule type="expression" priority="2" id="{865FD329-CA6D-4046-BAE0-1A096DE9FCFC}">
            <xm:f>$O5=HID_dropdown!$G$3</xm:f>
            <x14:dxf>
              <fill>
                <patternFill>
                  <bgColor theme="1"/>
                </patternFill>
              </fill>
            </x14:dxf>
          </x14:cfRule>
          <xm:sqref>P5:R19</xm:sqref>
        </x14:conditionalFormatting>
        <x14:conditionalFormatting xmlns:xm="http://schemas.microsoft.com/office/excel/2006/main">
          <x14:cfRule type="expression" priority="3" id="{8B8AA23B-98AF-47A7-951A-BEA63C95E26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ADCC31B-FDDC-4970-867B-E38F2FE10C6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18</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ory of Schemes'!B1" display="BACK to Inventory"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52A9764-0ECA-4A8C-A0EF-6C5769783AE6}">
            <xm:f>$D5=HID_dropdown!$B$2</xm:f>
            <x14:dxf>
              <fill>
                <patternFill>
                  <bgColor rgb="FFF3EBF9"/>
                </patternFill>
              </fill>
            </x14:dxf>
          </x14:cfRule>
          <xm:sqref>W5:X19</xm:sqref>
        </x14:conditionalFormatting>
        <x14:conditionalFormatting xmlns:xm="http://schemas.microsoft.com/office/excel/2006/main">
          <x14:cfRule type="expression" priority="2" id="{CF2CFFE0-42DD-4E66-8B24-95F5A957573A}">
            <xm:f>$O5=HID_dropdown!$G$3</xm:f>
            <x14:dxf>
              <fill>
                <patternFill>
                  <bgColor theme="1"/>
                </patternFill>
              </fill>
            </x14:dxf>
          </x14:cfRule>
          <xm:sqref>P5:R19</xm:sqref>
        </x14:conditionalFormatting>
        <x14:conditionalFormatting xmlns:xm="http://schemas.microsoft.com/office/excel/2006/main">
          <x14:cfRule type="expression" priority="3" id="{47F6201D-66DC-4566-A9AE-BB8CC58EAF1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23178CAC-77FF-4288-880C-7582555C667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9">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19</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ory of Schemes'!B1" display="BACK to Inventory"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2A603DF-B770-43C4-91F8-2D3C4292C683}">
            <xm:f>$D5=HID_dropdown!$B$2</xm:f>
            <x14:dxf>
              <fill>
                <patternFill>
                  <bgColor rgb="FFF3EBF9"/>
                </patternFill>
              </fill>
            </x14:dxf>
          </x14:cfRule>
          <xm:sqref>W5:X19</xm:sqref>
        </x14:conditionalFormatting>
        <x14:conditionalFormatting xmlns:xm="http://schemas.microsoft.com/office/excel/2006/main">
          <x14:cfRule type="expression" priority="2" id="{B10198AB-6C20-4857-AC7D-AC7058F84F67}">
            <xm:f>$O5=HID_dropdown!$G$3</xm:f>
            <x14:dxf>
              <fill>
                <patternFill>
                  <bgColor theme="1"/>
                </patternFill>
              </fill>
            </x14:dxf>
          </x14:cfRule>
          <xm:sqref>P5:R19</xm:sqref>
        </x14:conditionalFormatting>
        <x14:conditionalFormatting xmlns:xm="http://schemas.microsoft.com/office/excel/2006/main">
          <x14:cfRule type="expression" priority="3" id="{6A85AB55-E80E-4793-BD09-B05979F373A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2B7B7BC0-D6B8-4CC4-82AB-7EFF652D138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8">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20</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ory of Schemes'!B1" display="BACK to Inventory"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C85D8A9-2EA7-495F-A096-C6A63C480CE5}">
            <xm:f>$D5=HID_dropdown!$B$2</xm:f>
            <x14:dxf>
              <fill>
                <patternFill>
                  <bgColor rgb="FFF3EBF9"/>
                </patternFill>
              </fill>
            </x14:dxf>
          </x14:cfRule>
          <xm:sqref>W5:X19</xm:sqref>
        </x14:conditionalFormatting>
        <x14:conditionalFormatting xmlns:xm="http://schemas.microsoft.com/office/excel/2006/main">
          <x14:cfRule type="expression" priority="2" id="{5AD39CE6-CA89-44CB-8772-ABFA105201F1}">
            <xm:f>$O5=HID_dropdown!$G$3</xm:f>
            <x14:dxf>
              <fill>
                <patternFill>
                  <bgColor theme="1"/>
                </patternFill>
              </fill>
            </x14:dxf>
          </x14:cfRule>
          <xm:sqref>P5:R19</xm:sqref>
        </x14:conditionalFormatting>
        <x14:conditionalFormatting xmlns:xm="http://schemas.microsoft.com/office/excel/2006/main">
          <x14:cfRule type="expression" priority="3" id="{A46137B8-9292-4AC9-B4AD-6531CC8E4BF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3C26C7F-9BC8-4367-ADB6-7E369655AB0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7">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21</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ory of Schemes'!B1" display="BACK to Inventory"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1342AF2-7402-4299-9BFB-3F46990917C2}">
            <xm:f>$D5=HID_dropdown!$B$2</xm:f>
            <x14:dxf>
              <fill>
                <patternFill>
                  <bgColor rgb="FFF3EBF9"/>
                </patternFill>
              </fill>
            </x14:dxf>
          </x14:cfRule>
          <xm:sqref>W5:X19</xm:sqref>
        </x14:conditionalFormatting>
        <x14:conditionalFormatting xmlns:xm="http://schemas.microsoft.com/office/excel/2006/main">
          <x14:cfRule type="expression" priority="2" id="{85DBBF97-5255-42B2-BC7D-4315E5840AE1}">
            <xm:f>$O5=HID_dropdown!$G$3</xm:f>
            <x14:dxf>
              <fill>
                <patternFill>
                  <bgColor theme="1"/>
                </patternFill>
              </fill>
            </x14:dxf>
          </x14:cfRule>
          <xm:sqref>P5:R19</xm:sqref>
        </x14:conditionalFormatting>
        <x14:conditionalFormatting xmlns:xm="http://schemas.microsoft.com/office/excel/2006/main">
          <x14:cfRule type="expression" priority="3" id="{F91B9E55-1A35-45D1-ACB6-CF7F90B08CE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1522208-7FF7-48C4-8352-E3B462BB1F3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22</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ory of Schemes'!B1" display="BACK to Inventory"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2C3AC73-C9FD-433D-8C07-6E375DE0B91E}">
            <xm:f>$D5=HID_dropdown!$B$2</xm:f>
            <x14:dxf>
              <fill>
                <patternFill>
                  <bgColor rgb="FFF3EBF9"/>
                </patternFill>
              </fill>
            </x14:dxf>
          </x14:cfRule>
          <xm:sqref>W5:X19</xm:sqref>
        </x14:conditionalFormatting>
        <x14:conditionalFormatting xmlns:xm="http://schemas.microsoft.com/office/excel/2006/main">
          <x14:cfRule type="expression" priority="2" id="{C65306BD-1BD6-41A0-8C55-002A1BA210E7}">
            <xm:f>$O5=HID_dropdown!$G$3</xm:f>
            <x14:dxf>
              <fill>
                <patternFill>
                  <bgColor theme="1"/>
                </patternFill>
              </fill>
            </x14:dxf>
          </x14:cfRule>
          <xm:sqref>P5:R19</xm:sqref>
        </x14:conditionalFormatting>
        <x14:conditionalFormatting xmlns:xm="http://schemas.microsoft.com/office/excel/2006/main">
          <x14:cfRule type="expression" priority="3" id="{E0A97762-1D2A-4A31-A096-4CA8F2A6C32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29570F0C-B656-4542-AB0E-8939FA152EB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23</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ory of Schemes'!B1" display="BACK to Inventory"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88A7A3-FDF0-42DC-B460-0CDB5B7B1FDA}">
            <xm:f>$D5=HID_dropdown!$B$2</xm:f>
            <x14:dxf>
              <fill>
                <patternFill>
                  <bgColor rgb="FFF3EBF9"/>
                </patternFill>
              </fill>
            </x14:dxf>
          </x14:cfRule>
          <xm:sqref>W5:X19</xm:sqref>
        </x14:conditionalFormatting>
        <x14:conditionalFormatting xmlns:xm="http://schemas.microsoft.com/office/excel/2006/main">
          <x14:cfRule type="expression" priority="2" id="{8B94E111-1766-4925-98E7-5FE22E553AB4}">
            <xm:f>$O5=HID_dropdown!$G$3</xm:f>
            <x14:dxf>
              <fill>
                <patternFill>
                  <bgColor theme="1"/>
                </patternFill>
              </fill>
            </x14:dxf>
          </x14:cfRule>
          <xm:sqref>P5:R19</xm:sqref>
        </x14:conditionalFormatting>
        <x14:conditionalFormatting xmlns:xm="http://schemas.microsoft.com/office/excel/2006/main">
          <x14:cfRule type="expression" priority="3" id="{F72176F8-DD14-4A35-B9A2-18002FED65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50AF874-5A32-4DA7-A564-F9B96BC980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24</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ory of Schemes'!B1" display="BACK to Inventory"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FD639DB-5E0D-4390-91E9-A52BDB0D99B1}">
            <xm:f>$D5=HID_dropdown!$B$2</xm:f>
            <x14:dxf>
              <fill>
                <patternFill>
                  <bgColor rgb="FFF3EBF9"/>
                </patternFill>
              </fill>
            </x14:dxf>
          </x14:cfRule>
          <xm:sqref>W5:X19</xm:sqref>
        </x14:conditionalFormatting>
        <x14:conditionalFormatting xmlns:xm="http://schemas.microsoft.com/office/excel/2006/main">
          <x14:cfRule type="expression" priority="2" id="{C5B1094C-5E0E-4B3D-A257-2901A64B6947}">
            <xm:f>$O5=HID_dropdown!$G$3</xm:f>
            <x14:dxf>
              <fill>
                <patternFill>
                  <bgColor theme="1"/>
                </patternFill>
              </fill>
            </x14:dxf>
          </x14:cfRule>
          <xm:sqref>P5:R19</xm:sqref>
        </x14:conditionalFormatting>
        <x14:conditionalFormatting xmlns:xm="http://schemas.microsoft.com/office/excel/2006/main">
          <x14:cfRule type="expression" priority="3" id="{ACFA58D3-33B2-418D-9E44-0F4CEA996E6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C7F8A4F4-2B2D-4E4D-911A-59A7E4B5BE8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25</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ory of Schemes'!B1" display="BACK to Inventory"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316AA9E-E1A6-4685-8E28-21910868A54E}">
            <xm:f>$D5=HID_dropdown!$B$2</xm:f>
            <x14:dxf>
              <fill>
                <patternFill>
                  <bgColor rgb="FFF3EBF9"/>
                </patternFill>
              </fill>
            </x14:dxf>
          </x14:cfRule>
          <xm:sqref>W5:X19</xm:sqref>
        </x14:conditionalFormatting>
        <x14:conditionalFormatting xmlns:xm="http://schemas.microsoft.com/office/excel/2006/main">
          <x14:cfRule type="expression" priority="2" id="{88D6ADE0-4092-4D8E-9FDB-AC0691DE3223}">
            <xm:f>$O5=HID_dropdown!$G$3</xm:f>
            <x14:dxf>
              <fill>
                <patternFill>
                  <bgColor theme="1"/>
                </patternFill>
              </fill>
            </x14:dxf>
          </x14:cfRule>
          <xm:sqref>P5:R19</xm:sqref>
        </x14:conditionalFormatting>
        <x14:conditionalFormatting xmlns:xm="http://schemas.microsoft.com/office/excel/2006/main">
          <x14:cfRule type="expression" priority="3" id="{D0E85144-7107-4D34-AD22-03F4DF7925C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DB3B51ED-3049-496E-9708-145CD247139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26</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ory of Schemes'!B1" display="BACK to Inventory"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F7CA702-36A8-456A-9A61-70C6B6FC3DE4}">
            <xm:f>$D5=HID_dropdown!$B$2</xm:f>
            <x14:dxf>
              <fill>
                <patternFill>
                  <bgColor rgb="FFF3EBF9"/>
                </patternFill>
              </fill>
            </x14:dxf>
          </x14:cfRule>
          <xm:sqref>W5:X19</xm:sqref>
        </x14:conditionalFormatting>
        <x14:conditionalFormatting xmlns:xm="http://schemas.microsoft.com/office/excel/2006/main">
          <x14:cfRule type="expression" priority="2" id="{DDFFFFCC-713C-46C3-8DB7-A2F4D12ECB3C}">
            <xm:f>$O5=HID_dropdown!$G$3</xm:f>
            <x14:dxf>
              <fill>
                <patternFill>
                  <bgColor theme="1"/>
                </patternFill>
              </fill>
            </x14:dxf>
          </x14:cfRule>
          <xm:sqref>P5:R19</xm:sqref>
        </x14:conditionalFormatting>
        <x14:conditionalFormatting xmlns:xm="http://schemas.microsoft.com/office/excel/2006/main">
          <x14:cfRule type="expression" priority="3" id="{F90513DC-8148-4167-BAB4-216DF82C346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AF87CC7D-423A-4DDB-9B08-F6886334CBB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27</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ory of Schemes'!B1" display="BACK to Inventory"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6FEEE28-EEED-405C-885A-4585A5188832}">
            <xm:f>$D5=HID_dropdown!$B$2</xm:f>
            <x14:dxf>
              <fill>
                <patternFill>
                  <bgColor rgb="FFF3EBF9"/>
                </patternFill>
              </fill>
            </x14:dxf>
          </x14:cfRule>
          <xm:sqref>W5:X19</xm:sqref>
        </x14:conditionalFormatting>
        <x14:conditionalFormatting xmlns:xm="http://schemas.microsoft.com/office/excel/2006/main">
          <x14:cfRule type="expression" priority="2" id="{3A7D9FC5-BE4E-4738-A3BE-A0C69308E071}">
            <xm:f>$O5=HID_dropdown!$G$3</xm:f>
            <x14:dxf>
              <fill>
                <patternFill>
                  <bgColor theme="1"/>
                </patternFill>
              </fill>
            </x14:dxf>
          </x14:cfRule>
          <xm:sqref>P5:R19</xm:sqref>
        </x14:conditionalFormatting>
        <x14:conditionalFormatting xmlns:xm="http://schemas.microsoft.com/office/excel/2006/main">
          <x14:cfRule type="expression" priority="3" id="{74F1F4C2-0B24-4070-9F67-00B36F0399F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D130A72A-3021-41B7-9EE4-5C8EDFDB467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28</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ory of Schemes'!B1" display="BACK to Inventory"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AD64729-1177-48CC-BF93-0809DFCB1255}">
            <xm:f>$D5=HID_dropdown!$B$2</xm:f>
            <x14:dxf>
              <fill>
                <patternFill>
                  <bgColor rgb="FFF3EBF9"/>
                </patternFill>
              </fill>
            </x14:dxf>
          </x14:cfRule>
          <xm:sqref>W5:X19</xm:sqref>
        </x14:conditionalFormatting>
        <x14:conditionalFormatting xmlns:xm="http://schemas.microsoft.com/office/excel/2006/main">
          <x14:cfRule type="expression" priority="2" id="{8F26C441-7F51-450A-82B9-3FE6E50C4B62}">
            <xm:f>$O5=HID_dropdown!$G$3</xm:f>
            <x14:dxf>
              <fill>
                <patternFill>
                  <bgColor theme="1"/>
                </patternFill>
              </fill>
            </x14:dxf>
          </x14:cfRule>
          <xm:sqref>P5:R19</xm:sqref>
        </x14:conditionalFormatting>
        <x14:conditionalFormatting xmlns:xm="http://schemas.microsoft.com/office/excel/2006/main">
          <x14:cfRule type="expression" priority="3" id="{34DCA639-3BC7-43D0-BD78-BF210537469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DFA48EF1-BB8B-4A4E-BE42-E701C457AA1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9">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29</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ory of Schemes'!B1" display="BACK to Inventory"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43CE26B-23D3-46FC-81D5-EC8FC308AE31}">
            <xm:f>$D5=HID_dropdown!$B$2</xm:f>
            <x14:dxf>
              <fill>
                <patternFill>
                  <bgColor rgb="FFF3EBF9"/>
                </patternFill>
              </fill>
            </x14:dxf>
          </x14:cfRule>
          <xm:sqref>W5:X19</xm:sqref>
        </x14:conditionalFormatting>
        <x14:conditionalFormatting xmlns:xm="http://schemas.microsoft.com/office/excel/2006/main">
          <x14:cfRule type="expression" priority="2" id="{AD239D2D-28D8-4890-916B-71748449C5AB}">
            <xm:f>$O5=HID_dropdown!$G$3</xm:f>
            <x14:dxf>
              <fill>
                <patternFill>
                  <bgColor theme="1"/>
                </patternFill>
              </fill>
            </x14:dxf>
          </x14:cfRule>
          <xm:sqref>P5:R19</xm:sqref>
        </x14:conditionalFormatting>
        <x14:conditionalFormatting xmlns:xm="http://schemas.microsoft.com/office/excel/2006/main">
          <x14:cfRule type="expression" priority="3" id="{0E6A2811-1D6E-4997-901E-0B5D575C9BC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9E97-4BF4-40C1-97C4-F99783CAE2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30</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ory of Schemes'!B1" display="BACK to Inventory"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F19ADF-54E6-45DF-986C-36CA473EEA58}">
            <xm:f>$D5=HID_dropdown!$B$2</xm:f>
            <x14:dxf>
              <fill>
                <patternFill>
                  <bgColor rgb="FFF3EBF9"/>
                </patternFill>
              </fill>
            </x14:dxf>
          </x14:cfRule>
          <xm:sqref>W5:X19</xm:sqref>
        </x14:conditionalFormatting>
        <x14:conditionalFormatting xmlns:xm="http://schemas.microsoft.com/office/excel/2006/main">
          <x14:cfRule type="expression" priority="2" id="{19A8A860-BAF9-4DD5-9B49-B224474EF9EE}">
            <xm:f>$O5=HID_dropdown!$G$3</xm:f>
            <x14:dxf>
              <fill>
                <patternFill>
                  <bgColor theme="1"/>
                </patternFill>
              </fill>
            </x14:dxf>
          </x14:cfRule>
          <xm:sqref>P5:R19</xm:sqref>
        </x14:conditionalFormatting>
        <x14:conditionalFormatting xmlns:xm="http://schemas.microsoft.com/office/excel/2006/main">
          <x14:cfRule type="expression" priority="3" id="{BCC1B67D-987F-4FA6-AB9E-7C91A343C33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45B16FC-F324-4F51-985A-F527A49531E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7">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31</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ory of Schemes'!B1" display="BACK to Inventory"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26CD968A-8E96-4589-97AF-5B22AB21A769}">
            <xm:f>$D5=HID_dropdown!$B$2</xm:f>
            <x14:dxf>
              <fill>
                <patternFill>
                  <bgColor rgb="FFF3EBF9"/>
                </patternFill>
              </fill>
            </x14:dxf>
          </x14:cfRule>
          <xm:sqref>W5:X19</xm:sqref>
        </x14:conditionalFormatting>
        <x14:conditionalFormatting xmlns:xm="http://schemas.microsoft.com/office/excel/2006/main">
          <x14:cfRule type="expression" priority="2" id="{83F6734D-0862-484D-97C9-5D4E1B020F97}">
            <xm:f>$O5=HID_dropdown!$G$3</xm:f>
            <x14:dxf>
              <fill>
                <patternFill>
                  <bgColor theme="1"/>
                </patternFill>
              </fill>
            </x14:dxf>
          </x14:cfRule>
          <xm:sqref>P5:R19</xm:sqref>
        </x14:conditionalFormatting>
        <x14:conditionalFormatting xmlns:xm="http://schemas.microsoft.com/office/excel/2006/main">
          <x14:cfRule type="expression" priority="3" id="{5ADD003A-9DF6-4457-84A2-18127975DF4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CE0F82-E66B-48F4-A290-BE58889201B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6">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32</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ory of Schemes'!B1" display="BACK to Inventory"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1090DDE-544F-4228-8F12-60E58A0AD50F}">
            <xm:f>$D5=HID_dropdown!$B$2</xm:f>
            <x14:dxf>
              <fill>
                <patternFill>
                  <bgColor rgb="FFF3EBF9"/>
                </patternFill>
              </fill>
            </x14:dxf>
          </x14:cfRule>
          <xm:sqref>W5:X19</xm:sqref>
        </x14:conditionalFormatting>
        <x14:conditionalFormatting xmlns:xm="http://schemas.microsoft.com/office/excel/2006/main">
          <x14:cfRule type="expression" priority="2" id="{EE4CCA4C-9EA0-45DD-89A3-AF6677BB0C36}">
            <xm:f>$O5=HID_dropdown!$G$3</xm:f>
            <x14:dxf>
              <fill>
                <patternFill>
                  <bgColor theme="1"/>
                </patternFill>
              </fill>
            </x14:dxf>
          </x14:cfRule>
          <xm:sqref>P5:R19</xm:sqref>
        </x14:conditionalFormatting>
        <x14:conditionalFormatting xmlns:xm="http://schemas.microsoft.com/office/excel/2006/main">
          <x14:cfRule type="expression" priority="3" id="{080D6E81-887C-4BE7-B055-289190A57F0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BFBECFB6-B578-4643-9EBC-3C504A47698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5">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33</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ory of Schemes'!B1" display="BACK to Inventory"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E35B2A1-EF59-4A90-9C2C-8D129057CC2E}">
            <xm:f>$D5=HID_dropdown!$B$2</xm:f>
            <x14:dxf>
              <fill>
                <patternFill>
                  <bgColor rgb="FFF3EBF9"/>
                </patternFill>
              </fill>
            </x14:dxf>
          </x14:cfRule>
          <xm:sqref>W5:X19</xm:sqref>
        </x14:conditionalFormatting>
        <x14:conditionalFormatting xmlns:xm="http://schemas.microsoft.com/office/excel/2006/main">
          <x14:cfRule type="expression" priority="2" id="{AD92A3A1-30BC-4902-92F6-5E2F0D39E715}">
            <xm:f>$O5=HID_dropdown!$G$3</xm:f>
            <x14:dxf>
              <fill>
                <patternFill>
                  <bgColor theme="1"/>
                </patternFill>
              </fill>
            </x14:dxf>
          </x14:cfRule>
          <xm:sqref>P5:R19</xm:sqref>
        </x14:conditionalFormatting>
        <x14:conditionalFormatting xmlns:xm="http://schemas.microsoft.com/office/excel/2006/main">
          <x14:cfRule type="expression" priority="3" id="{58B2B0CA-1CC6-4555-87A3-F88BACFFAF8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E188724-45AC-469B-A559-25B0B0C76D4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4">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34</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ory of Schemes'!B1" display="BACK to Inventory"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9F631C5-617D-4F01-BBFF-B2B87BDE8558}">
            <xm:f>$D5=HID_dropdown!$B$2</xm:f>
            <x14:dxf>
              <fill>
                <patternFill>
                  <bgColor rgb="FFF3EBF9"/>
                </patternFill>
              </fill>
            </x14:dxf>
          </x14:cfRule>
          <xm:sqref>W5:X19</xm:sqref>
        </x14:conditionalFormatting>
        <x14:conditionalFormatting xmlns:xm="http://schemas.microsoft.com/office/excel/2006/main">
          <x14:cfRule type="expression" priority="2" id="{88F104FD-451F-44CB-95BC-428434BD7F77}">
            <xm:f>$O5=HID_dropdown!$G$3</xm:f>
            <x14:dxf>
              <fill>
                <patternFill>
                  <bgColor theme="1"/>
                </patternFill>
              </fill>
            </x14:dxf>
          </x14:cfRule>
          <xm:sqref>P5:R19</xm:sqref>
        </x14:conditionalFormatting>
        <x14:conditionalFormatting xmlns:xm="http://schemas.microsoft.com/office/excel/2006/main">
          <x14:cfRule type="expression" priority="3" id="{4B520557-A22F-41A7-A119-F9BE7C2911C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A8825058-3F81-4F5D-B189-364A957BB30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3">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35</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ory of Schemes'!B1" display="BACK to Inventory"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2B0F30D-08FD-44B2-B14D-89EC0AF68F40}">
            <xm:f>$D5=HID_dropdown!$B$2</xm:f>
            <x14:dxf>
              <fill>
                <patternFill>
                  <bgColor rgb="FFF3EBF9"/>
                </patternFill>
              </fill>
            </x14:dxf>
          </x14:cfRule>
          <xm:sqref>W5:X19</xm:sqref>
        </x14:conditionalFormatting>
        <x14:conditionalFormatting xmlns:xm="http://schemas.microsoft.com/office/excel/2006/main">
          <x14:cfRule type="expression" priority="2" id="{46B23AA5-FCE4-457B-A104-0CCF6DA690A5}">
            <xm:f>$O5=HID_dropdown!$G$3</xm:f>
            <x14:dxf>
              <fill>
                <patternFill>
                  <bgColor theme="1"/>
                </patternFill>
              </fill>
            </x14:dxf>
          </x14:cfRule>
          <xm:sqref>P5:R19</xm:sqref>
        </x14:conditionalFormatting>
        <x14:conditionalFormatting xmlns:xm="http://schemas.microsoft.com/office/excel/2006/main">
          <x14:cfRule type="expression" priority="3" id="{2315D160-A833-4B09-A70D-C3CC4CEBD03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6B79E5E-A383-4D13-91DF-97AEC6FDA12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2">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36</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ory of Schemes'!B1" display="BACK to Inventory"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DBB2005-0CA4-49B1-A906-A1C03BB2E9ED}">
            <xm:f>$D5=HID_dropdown!$B$2</xm:f>
            <x14:dxf>
              <fill>
                <patternFill>
                  <bgColor rgb="FFF3EBF9"/>
                </patternFill>
              </fill>
            </x14:dxf>
          </x14:cfRule>
          <xm:sqref>W5:X19</xm:sqref>
        </x14:conditionalFormatting>
        <x14:conditionalFormatting xmlns:xm="http://schemas.microsoft.com/office/excel/2006/main">
          <x14:cfRule type="expression" priority="2" id="{98C56A53-C5EA-4611-8B18-653C961412F9}">
            <xm:f>$O5=HID_dropdown!$G$3</xm:f>
            <x14:dxf>
              <fill>
                <patternFill>
                  <bgColor theme="1"/>
                </patternFill>
              </fill>
            </x14:dxf>
          </x14:cfRule>
          <xm:sqref>P5:R19</xm:sqref>
        </x14:conditionalFormatting>
        <x14:conditionalFormatting xmlns:xm="http://schemas.microsoft.com/office/excel/2006/main">
          <x14:cfRule type="expression" priority="3" id="{2282C492-58C7-45F2-A5D8-EBDBF2B3ED8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8116B7E-2245-4010-BCC8-4B28804C031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37</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ory of Schemes'!B1" display="BACK to Inventory"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0034069-4353-43EF-90F0-57346CAA03D0}">
            <xm:f>$D5=HID_dropdown!$B$2</xm:f>
            <x14:dxf>
              <fill>
                <patternFill>
                  <bgColor rgb="FFF3EBF9"/>
                </patternFill>
              </fill>
            </x14:dxf>
          </x14:cfRule>
          <xm:sqref>W5:X19</xm:sqref>
        </x14:conditionalFormatting>
        <x14:conditionalFormatting xmlns:xm="http://schemas.microsoft.com/office/excel/2006/main">
          <x14:cfRule type="expression" priority="2" id="{D1953DE2-C44E-4CAB-A251-CE7DD8D88CAB}">
            <xm:f>$O5=HID_dropdown!$G$3</xm:f>
            <x14:dxf>
              <fill>
                <patternFill>
                  <bgColor theme="1"/>
                </patternFill>
              </fill>
            </x14:dxf>
          </x14:cfRule>
          <xm:sqref>P5:R19</xm:sqref>
        </x14:conditionalFormatting>
        <x14:conditionalFormatting xmlns:xm="http://schemas.microsoft.com/office/excel/2006/main">
          <x14:cfRule type="expression" priority="3" id="{703253D2-F3B7-41BD-8E4F-C68CEAB84E5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66D4DFD-965E-4C5E-A656-DC14E47FC0F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38</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ory of Schemes'!B1" display="BACK to Inventory"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5B76741-61CB-43F3-8468-110DAACCDD6B}">
            <xm:f>$D5=HID_dropdown!$B$2</xm:f>
            <x14:dxf>
              <fill>
                <patternFill>
                  <bgColor rgb="FFF3EBF9"/>
                </patternFill>
              </fill>
            </x14:dxf>
          </x14:cfRule>
          <xm:sqref>W5:X19</xm:sqref>
        </x14:conditionalFormatting>
        <x14:conditionalFormatting xmlns:xm="http://schemas.microsoft.com/office/excel/2006/main">
          <x14:cfRule type="expression" priority="2" id="{18EE64DA-6FBD-431C-90C5-1B9DD70AB073}">
            <xm:f>$O5=HID_dropdown!$G$3</xm:f>
            <x14:dxf>
              <fill>
                <patternFill>
                  <bgColor theme="1"/>
                </patternFill>
              </fill>
            </x14:dxf>
          </x14:cfRule>
          <xm:sqref>P5:R19</xm:sqref>
        </x14:conditionalFormatting>
        <x14:conditionalFormatting xmlns:xm="http://schemas.microsoft.com/office/excel/2006/main">
          <x14:cfRule type="expression" priority="3" id="{C842B8E5-43B1-4E4D-8289-ED92B55D520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226C030A-252D-4AC1-97FA-FD87A5F9C3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9">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39</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ory of Schemes'!B1" display="BACK to Inventory"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11D48CE6-7994-4F3A-A41E-0151B30BF260}">
            <xm:f>$D5=HID_dropdown!$B$2</xm:f>
            <x14:dxf>
              <fill>
                <patternFill>
                  <bgColor rgb="FFF3EBF9"/>
                </patternFill>
              </fill>
            </x14:dxf>
          </x14:cfRule>
          <xm:sqref>W5:X19</xm:sqref>
        </x14:conditionalFormatting>
        <x14:conditionalFormatting xmlns:xm="http://schemas.microsoft.com/office/excel/2006/main">
          <x14:cfRule type="expression" priority="2" id="{A219D921-0FF3-4EAA-995B-993178F112CF}">
            <xm:f>$O5=HID_dropdown!$G$3</xm:f>
            <x14:dxf>
              <fill>
                <patternFill>
                  <bgColor theme="1"/>
                </patternFill>
              </fill>
            </x14:dxf>
          </x14:cfRule>
          <xm:sqref>P5:R19</xm:sqref>
        </x14:conditionalFormatting>
        <x14:conditionalFormatting xmlns:xm="http://schemas.microsoft.com/office/excel/2006/main">
          <x14:cfRule type="expression" priority="3" id="{2CF6929B-9031-4EB2-BE36-7B532EF423A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C69F5738-A4E0-4577-BF92-981727540B7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8">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2"/>
  <cols>
    <col min="1" max="1" width="7.7109375" style="89" customWidth="1"/>
    <col min="2" max="3" width="25.7109375" style="89" customWidth="1"/>
    <col min="4" max="4" width="12.28515625" style="89" customWidth="1"/>
    <col min="5" max="5" width="25.7109375" style="89" customWidth="1"/>
    <col min="6" max="7" width="9.7109375" style="89" customWidth="1"/>
    <col min="8" max="8" width="12.28515625" style="89" customWidth="1"/>
    <col min="9" max="14" width="11.7109375" style="89" customWidth="1"/>
    <col min="15" max="16" width="12.28515625" style="89" customWidth="1"/>
    <col min="17" max="20" width="11.7109375" style="89" customWidth="1"/>
    <col min="21" max="21" width="20.7109375" style="89" customWidth="1"/>
    <col min="22" max="22" width="12.28515625" style="89" customWidth="1"/>
    <col min="23" max="24" width="10.7109375" style="89" customWidth="1"/>
    <col min="25" max="27" width="11.7109375" style="89" customWidth="1"/>
    <col min="28" max="28" width="3.85546875" style="89" customWidth="1"/>
    <col min="29" max="30" width="9.140625" style="89" hidden="1" customWidth="1"/>
    <col min="31" max="32" width="0" style="89" hidden="1" customWidth="1"/>
    <col min="33" max="16384" width="9.140625" style="89" hidden="1"/>
  </cols>
  <sheetData>
    <row r="1" spans="1:28" ht="30" customHeight="1" thickTop="1" thickBot="1" x14ac:dyDescent="0.25">
      <c r="A1" s="200" t="s">
        <v>535</v>
      </c>
      <c r="B1" s="207" t="str">
        <f ca="1">IF(OFFSET('Inventory of Schemes'!B5,(_xlfn.SHEET()-2),0)=0,"-", OFFSET('Inventory of Schemes'!B5,(_xlfn.SHEET()-2),0))</f>
        <v>Name of scheme 40</v>
      </c>
      <c r="C1" s="208" t="str">
        <f ca="1">IF(OFFSET('Inventory of Schemes'!C5,(_xlfn.SHEET()-2),0)=0,"Name of Scheme in English", OFFSET('Inventory of Schemes'!C5,(_xlfn.SHEET()-2),0))</f>
        <v>Name of Scheme in English</v>
      </c>
      <c r="D1" s="209" t="str">
        <f>IF('Inventory of Schemes'!B2=0, "Year", 'Inventory of Schemes'!B2)</f>
        <v>Year</v>
      </c>
      <c r="E1" s="92"/>
      <c r="F1" s="92"/>
      <c r="G1" s="92"/>
      <c r="H1" s="92"/>
      <c r="I1" s="92"/>
      <c r="J1" s="92"/>
      <c r="K1" s="92"/>
      <c r="L1" s="92"/>
      <c r="M1" s="92"/>
      <c r="N1" s="92"/>
      <c r="O1" s="92"/>
      <c r="P1" s="92"/>
      <c r="Q1" s="92"/>
      <c r="R1" s="92"/>
      <c r="S1" s="92"/>
      <c r="T1" s="92"/>
      <c r="U1" s="92"/>
      <c r="V1" s="92"/>
      <c r="W1" s="92"/>
      <c r="X1" s="92"/>
      <c r="Y1" s="92"/>
      <c r="Z1" s="92"/>
      <c r="AA1" s="92"/>
      <c r="AB1" s="92"/>
    </row>
    <row r="2" spans="1:28" ht="12" customHeight="1" thickTop="1" x14ac:dyDescent="0.2">
      <c r="A2" s="92"/>
      <c r="B2" s="96"/>
      <c r="C2" s="96"/>
      <c r="D2" s="92"/>
      <c r="E2" s="92"/>
      <c r="F2" s="92"/>
      <c r="G2" s="92"/>
      <c r="H2" s="92"/>
      <c r="I2" s="268" t="s">
        <v>416</v>
      </c>
      <c r="J2" s="268"/>
      <c r="K2" s="268"/>
      <c r="L2" s="268"/>
      <c r="M2" s="268"/>
      <c r="N2" s="268"/>
      <c r="O2" s="269" t="s">
        <v>105</v>
      </c>
      <c r="P2" s="269"/>
      <c r="Q2" s="269"/>
      <c r="R2" s="269"/>
      <c r="S2" s="269"/>
      <c r="T2" s="267" t="s">
        <v>1</v>
      </c>
      <c r="U2" s="267"/>
      <c r="V2" s="267"/>
      <c r="W2" s="267"/>
      <c r="X2" s="267"/>
      <c r="Y2" s="267"/>
      <c r="Z2" s="97" t="s">
        <v>96</v>
      </c>
      <c r="AA2" s="92"/>
      <c r="AB2" s="92"/>
    </row>
    <row r="3" spans="1:28" ht="93" customHeight="1" x14ac:dyDescent="0.2">
      <c r="A3" s="201" t="s">
        <v>372</v>
      </c>
      <c r="B3" s="184" t="s">
        <v>446</v>
      </c>
      <c r="C3" s="184" t="s">
        <v>447</v>
      </c>
      <c r="D3" s="184" t="s">
        <v>374</v>
      </c>
      <c r="E3" s="264" t="s">
        <v>417</v>
      </c>
      <c r="F3" s="265"/>
      <c r="G3" s="266"/>
      <c r="H3" s="184" t="s">
        <v>373</v>
      </c>
      <c r="I3" s="261" t="s">
        <v>407</v>
      </c>
      <c r="J3" s="262"/>
      <c r="K3" s="263"/>
      <c r="L3" s="261" t="s">
        <v>408</v>
      </c>
      <c r="M3" s="262"/>
      <c r="N3" s="263"/>
      <c r="O3" s="184" t="s">
        <v>380</v>
      </c>
      <c r="P3" s="184" t="s">
        <v>381</v>
      </c>
      <c r="Q3" s="184" t="s">
        <v>382</v>
      </c>
      <c r="R3" s="184" t="s">
        <v>384</v>
      </c>
      <c r="S3" s="184" t="s">
        <v>536</v>
      </c>
      <c r="T3" s="184" t="s">
        <v>115</v>
      </c>
      <c r="U3" s="184" t="s">
        <v>444</v>
      </c>
      <c r="V3" s="184" t="s">
        <v>411</v>
      </c>
      <c r="W3" s="261" t="s">
        <v>95</v>
      </c>
      <c r="X3" s="263"/>
      <c r="Y3" s="184" t="s">
        <v>412</v>
      </c>
      <c r="Z3" s="184" t="s">
        <v>445</v>
      </c>
      <c r="AA3" s="184" t="s">
        <v>89</v>
      </c>
      <c r="AB3" s="92"/>
    </row>
    <row r="4" spans="1:28" s="125" customFormat="1" ht="12.75" customHeight="1" x14ac:dyDescent="0.25">
      <c r="A4" s="202"/>
      <c r="B4" s="203"/>
      <c r="C4" s="202"/>
      <c r="D4" s="194" t="s">
        <v>414</v>
      </c>
      <c r="E4" s="204" t="s">
        <v>443</v>
      </c>
      <c r="F4" s="204" t="s">
        <v>385</v>
      </c>
      <c r="G4" s="204" t="s">
        <v>415</v>
      </c>
      <c r="H4" s="194" t="s">
        <v>414</v>
      </c>
      <c r="I4" s="185" t="s">
        <v>33</v>
      </c>
      <c r="J4" s="185" t="s">
        <v>409</v>
      </c>
      <c r="K4" s="185" t="s">
        <v>34</v>
      </c>
      <c r="L4" s="185" t="s">
        <v>33</v>
      </c>
      <c r="M4" s="185" t="s">
        <v>409</v>
      </c>
      <c r="N4" s="185" t="s">
        <v>34</v>
      </c>
      <c r="O4" s="194" t="s">
        <v>414</v>
      </c>
      <c r="P4" s="194" t="s">
        <v>414</v>
      </c>
      <c r="Q4" s="194" t="s">
        <v>383</v>
      </c>
      <c r="R4" s="194" t="s">
        <v>383</v>
      </c>
      <c r="S4" s="205"/>
      <c r="T4" s="203"/>
      <c r="U4" s="194" t="s">
        <v>414</v>
      </c>
      <c r="V4" s="194" t="s">
        <v>414</v>
      </c>
      <c r="W4" s="185" t="s">
        <v>35</v>
      </c>
      <c r="X4" s="185" t="s">
        <v>34</v>
      </c>
      <c r="Y4" s="203"/>
      <c r="Z4" s="206" t="s">
        <v>383</v>
      </c>
      <c r="AA4" s="203"/>
      <c r="AB4" s="124"/>
    </row>
    <row r="5" spans="1:28" s="90" customFormat="1" x14ac:dyDescent="0.25">
      <c r="A5" s="132" t="s">
        <v>340</v>
      </c>
      <c r="B5" s="233"/>
      <c r="C5" s="234"/>
      <c r="D5" s="235"/>
      <c r="E5" s="236"/>
      <c r="F5" s="235"/>
      <c r="G5" s="234"/>
      <c r="H5" s="234"/>
      <c r="I5" s="219"/>
      <c r="J5" s="219"/>
      <c r="K5" s="219"/>
      <c r="L5" s="220"/>
      <c r="M5" s="221"/>
      <c r="N5" s="221"/>
      <c r="O5" s="227"/>
      <c r="P5" s="228"/>
      <c r="Q5" s="227"/>
      <c r="R5" s="227"/>
      <c r="S5" s="227"/>
      <c r="T5" s="229"/>
      <c r="U5" s="229"/>
      <c r="V5" s="229"/>
      <c r="W5" s="230"/>
      <c r="X5" s="230"/>
      <c r="Y5" s="229"/>
      <c r="Z5" s="225"/>
      <c r="AA5" s="104"/>
      <c r="AB5" s="133"/>
    </row>
    <row r="6" spans="1:28" s="90" customFormat="1" x14ac:dyDescent="0.25">
      <c r="A6" s="132" t="s">
        <v>341</v>
      </c>
      <c r="B6" s="237"/>
      <c r="C6" s="238"/>
      <c r="D6" s="239"/>
      <c r="E6" s="240"/>
      <c r="F6" s="241"/>
      <c r="G6" s="238"/>
      <c r="H6" s="238"/>
      <c r="I6" s="222"/>
      <c r="J6" s="222"/>
      <c r="K6" s="222"/>
      <c r="L6" s="223"/>
      <c r="M6" s="223"/>
      <c r="N6" s="223"/>
      <c r="O6" s="228"/>
      <c r="P6" s="228"/>
      <c r="Q6" s="228"/>
      <c r="R6" s="228"/>
      <c r="S6" s="228"/>
      <c r="T6" s="231"/>
      <c r="U6" s="231"/>
      <c r="V6" s="231"/>
      <c r="W6" s="232"/>
      <c r="X6" s="232"/>
      <c r="Y6" s="231"/>
      <c r="Z6" s="226"/>
      <c r="AA6" s="105"/>
      <c r="AB6" s="133"/>
    </row>
    <row r="7" spans="1:28" s="90" customFormat="1" x14ac:dyDescent="0.25">
      <c r="A7" s="132" t="s">
        <v>342</v>
      </c>
      <c r="B7" s="237"/>
      <c r="C7" s="238"/>
      <c r="D7" s="239"/>
      <c r="E7" s="240"/>
      <c r="F7" s="241"/>
      <c r="G7" s="238"/>
      <c r="H7" s="238"/>
      <c r="I7" s="222"/>
      <c r="J7" s="222"/>
      <c r="K7" s="222"/>
      <c r="L7" s="223"/>
      <c r="M7" s="223"/>
      <c r="N7" s="223"/>
      <c r="O7" s="228"/>
      <c r="P7" s="228"/>
      <c r="Q7" s="228"/>
      <c r="R7" s="228"/>
      <c r="S7" s="228"/>
      <c r="T7" s="231"/>
      <c r="U7" s="231"/>
      <c r="V7" s="231"/>
      <c r="W7" s="232"/>
      <c r="X7" s="232"/>
      <c r="Y7" s="231"/>
      <c r="Z7" s="226"/>
      <c r="AA7" s="105"/>
      <c r="AB7" s="133"/>
    </row>
    <row r="8" spans="1:28" s="90" customFormat="1" x14ac:dyDescent="0.25">
      <c r="A8" s="132" t="s">
        <v>343</v>
      </c>
      <c r="B8" s="237"/>
      <c r="C8" s="238"/>
      <c r="D8" s="239"/>
      <c r="E8" s="240"/>
      <c r="F8" s="241"/>
      <c r="G8" s="238"/>
      <c r="H8" s="238"/>
      <c r="I8" s="222"/>
      <c r="J8" s="222"/>
      <c r="K8" s="222"/>
      <c r="L8" s="223"/>
      <c r="M8" s="223"/>
      <c r="N8" s="223"/>
      <c r="O8" s="228"/>
      <c r="P8" s="228"/>
      <c r="Q8" s="228"/>
      <c r="R8" s="228"/>
      <c r="S8" s="228"/>
      <c r="T8" s="231"/>
      <c r="U8" s="231"/>
      <c r="V8" s="231"/>
      <c r="W8" s="232"/>
      <c r="X8" s="232"/>
      <c r="Y8" s="231"/>
      <c r="Z8" s="226"/>
      <c r="AA8" s="105"/>
      <c r="AB8" s="133"/>
    </row>
    <row r="9" spans="1:28" s="90" customFormat="1" x14ac:dyDescent="0.25">
      <c r="A9" s="132" t="s">
        <v>344</v>
      </c>
      <c r="B9" s="237"/>
      <c r="C9" s="238"/>
      <c r="D9" s="239"/>
      <c r="E9" s="240"/>
      <c r="F9" s="241"/>
      <c r="G9" s="238"/>
      <c r="H9" s="238"/>
      <c r="I9" s="222"/>
      <c r="J9" s="222"/>
      <c r="K9" s="222"/>
      <c r="L9" s="223"/>
      <c r="M9" s="223"/>
      <c r="N9" s="223"/>
      <c r="O9" s="228"/>
      <c r="P9" s="228"/>
      <c r="Q9" s="228"/>
      <c r="R9" s="228"/>
      <c r="S9" s="228"/>
      <c r="T9" s="231"/>
      <c r="U9" s="231"/>
      <c r="V9" s="231"/>
      <c r="W9" s="232"/>
      <c r="X9" s="232"/>
      <c r="Y9" s="231"/>
      <c r="Z9" s="226"/>
      <c r="AA9" s="105"/>
      <c r="AB9" s="133"/>
    </row>
    <row r="10" spans="1:28" s="90" customFormat="1" x14ac:dyDescent="0.25">
      <c r="A10" s="132" t="s">
        <v>345</v>
      </c>
      <c r="B10" s="237"/>
      <c r="C10" s="238"/>
      <c r="D10" s="239"/>
      <c r="E10" s="240"/>
      <c r="F10" s="241"/>
      <c r="G10" s="238"/>
      <c r="H10" s="238"/>
      <c r="I10" s="222"/>
      <c r="J10" s="222"/>
      <c r="K10" s="222"/>
      <c r="L10" s="224"/>
      <c r="M10" s="223"/>
      <c r="N10" s="223"/>
      <c r="O10" s="228"/>
      <c r="P10" s="228"/>
      <c r="Q10" s="228"/>
      <c r="R10" s="228"/>
      <c r="S10" s="228"/>
      <c r="T10" s="231"/>
      <c r="U10" s="231"/>
      <c r="V10" s="231"/>
      <c r="W10" s="232"/>
      <c r="X10" s="232"/>
      <c r="Y10" s="231"/>
      <c r="Z10" s="226"/>
      <c r="AA10" s="105"/>
      <c r="AB10" s="133"/>
    </row>
    <row r="11" spans="1:28" s="90" customFormat="1" x14ac:dyDescent="0.25">
      <c r="A11" s="132" t="s">
        <v>346</v>
      </c>
      <c r="B11" s="237"/>
      <c r="C11" s="238"/>
      <c r="D11" s="239"/>
      <c r="E11" s="240"/>
      <c r="F11" s="241"/>
      <c r="G11" s="238"/>
      <c r="H11" s="238"/>
      <c r="I11" s="222"/>
      <c r="J11" s="222"/>
      <c r="K11" s="222"/>
      <c r="L11" s="223"/>
      <c r="M11" s="223"/>
      <c r="N11" s="223"/>
      <c r="O11" s="228"/>
      <c r="P11" s="228"/>
      <c r="Q11" s="228"/>
      <c r="R11" s="228"/>
      <c r="S11" s="228"/>
      <c r="T11" s="231"/>
      <c r="U11" s="231"/>
      <c r="V11" s="231"/>
      <c r="W11" s="232"/>
      <c r="X11" s="232"/>
      <c r="Y11" s="231"/>
      <c r="Z11" s="226"/>
      <c r="AA11" s="105"/>
      <c r="AB11" s="133"/>
    </row>
    <row r="12" spans="1:28" s="90" customFormat="1" x14ac:dyDescent="0.25">
      <c r="A12" s="132" t="s">
        <v>347</v>
      </c>
      <c r="B12" s="237"/>
      <c r="C12" s="238"/>
      <c r="D12" s="239"/>
      <c r="E12" s="240"/>
      <c r="F12" s="241"/>
      <c r="G12" s="238"/>
      <c r="H12" s="238"/>
      <c r="I12" s="222"/>
      <c r="J12" s="222"/>
      <c r="K12" s="222"/>
      <c r="L12" s="223"/>
      <c r="M12" s="223"/>
      <c r="N12" s="223"/>
      <c r="O12" s="228"/>
      <c r="P12" s="228"/>
      <c r="Q12" s="228"/>
      <c r="R12" s="228"/>
      <c r="S12" s="228"/>
      <c r="T12" s="231"/>
      <c r="U12" s="231"/>
      <c r="V12" s="231"/>
      <c r="W12" s="232"/>
      <c r="X12" s="232"/>
      <c r="Y12" s="231"/>
      <c r="Z12" s="226"/>
      <c r="AA12" s="105"/>
      <c r="AB12" s="133"/>
    </row>
    <row r="13" spans="1:28" s="90" customFormat="1" x14ac:dyDescent="0.25">
      <c r="A13" s="132" t="s">
        <v>348</v>
      </c>
      <c r="B13" s="237"/>
      <c r="C13" s="238"/>
      <c r="D13" s="239"/>
      <c r="E13" s="240"/>
      <c r="F13" s="241"/>
      <c r="G13" s="238"/>
      <c r="H13" s="238"/>
      <c r="I13" s="222"/>
      <c r="J13" s="222"/>
      <c r="K13" s="222"/>
      <c r="L13" s="223"/>
      <c r="M13" s="223"/>
      <c r="N13" s="223"/>
      <c r="O13" s="228"/>
      <c r="P13" s="228"/>
      <c r="Q13" s="228"/>
      <c r="R13" s="228"/>
      <c r="S13" s="228"/>
      <c r="T13" s="231"/>
      <c r="U13" s="231"/>
      <c r="V13" s="231"/>
      <c r="W13" s="232"/>
      <c r="X13" s="232"/>
      <c r="Y13" s="231"/>
      <c r="Z13" s="226"/>
      <c r="AA13" s="105"/>
      <c r="AB13" s="133"/>
    </row>
    <row r="14" spans="1:28" s="90" customFormat="1" x14ac:dyDescent="0.25">
      <c r="A14" s="132" t="s">
        <v>349</v>
      </c>
      <c r="B14" s="237"/>
      <c r="C14" s="238"/>
      <c r="D14" s="239"/>
      <c r="E14" s="240"/>
      <c r="F14" s="241"/>
      <c r="G14" s="238"/>
      <c r="H14" s="238"/>
      <c r="I14" s="222"/>
      <c r="J14" s="222"/>
      <c r="K14" s="222"/>
      <c r="L14" s="223"/>
      <c r="M14" s="223"/>
      <c r="N14" s="223"/>
      <c r="O14" s="228"/>
      <c r="P14" s="228"/>
      <c r="Q14" s="228"/>
      <c r="R14" s="228"/>
      <c r="S14" s="228"/>
      <c r="T14" s="231"/>
      <c r="U14" s="231"/>
      <c r="V14" s="231"/>
      <c r="W14" s="232"/>
      <c r="X14" s="232"/>
      <c r="Y14" s="231"/>
      <c r="Z14" s="226"/>
      <c r="AA14" s="105"/>
      <c r="AB14" s="133"/>
    </row>
    <row r="15" spans="1:28" s="90" customFormat="1" x14ac:dyDescent="0.25">
      <c r="A15" s="132" t="s">
        <v>350</v>
      </c>
      <c r="B15" s="237"/>
      <c r="C15" s="238"/>
      <c r="D15" s="239"/>
      <c r="E15" s="240"/>
      <c r="F15" s="241"/>
      <c r="G15" s="238"/>
      <c r="H15" s="238"/>
      <c r="I15" s="222"/>
      <c r="J15" s="222"/>
      <c r="K15" s="222"/>
      <c r="L15" s="223"/>
      <c r="M15" s="223"/>
      <c r="N15" s="223"/>
      <c r="O15" s="228"/>
      <c r="P15" s="228"/>
      <c r="Q15" s="228"/>
      <c r="R15" s="228"/>
      <c r="S15" s="228"/>
      <c r="T15" s="231"/>
      <c r="U15" s="231"/>
      <c r="V15" s="231"/>
      <c r="W15" s="232"/>
      <c r="X15" s="232"/>
      <c r="Y15" s="231"/>
      <c r="Z15" s="226"/>
      <c r="AA15" s="105"/>
      <c r="AB15" s="133"/>
    </row>
    <row r="16" spans="1:28" s="90" customFormat="1" x14ac:dyDescent="0.25">
      <c r="A16" s="132" t="s">
        <v>351</v>
      </c>
      <c r="B16" s="237"/>
      <c r="C16" s="238"/>
      <c r="D16" s="239"/>
      <c r="E16" s="240"/>
      <c r="F16" s="241"/>
      <c r="G16" s="238"/>
      <c r="H16" s="238"/>
      <c r="I16" s="222"/>
      <c r="J16" s="222"/>
      <c r="K16" s="222"/>
      <c r="L16" s="223"/>
      <c r="M16" s="223"/>
      <c r="N16" s="223"/>
      <c r="O16" s="228"/>
      <c r="P16" s="228"/>
      <c r="Q16" s="228"/>
      <c r="R16" s="228"/>
      <c r="S16" s="228"/>
      <c r="T16" s="231"/>
      <c r="U16" s="231"/>
      <c r="V16" s="231"/>
      <c r="W16" s="232"/>
      <c r="X16" s="232"/>
      <c r="Y16" s="231"/>
      <c r="Z16" s="226"/>
      <c r="AA16" s="105"/>
      <c r="AB16" s="133"/>
    </row>
    <row r="17" spans="1:28" s="90" customFormat="1" x14ac:dyDescent="0.25">
      <c r="A17" s="132" t="s">
        <v>352</v>
      </c>
      <c r="B17" s="237"/>
      <c r="C17" s="238"/>
      <c r="D17" s="239"/>
      <c r="E17" s="240"/>
      <c r="F17" s="241"/>
      <c r="G17" s="238"/>
      <c r="H17" s="238"/>
      <c r="I17" s="222"/>
      <c r="J17" s="222"/>
      <c r="K17" s="222"/>
      <c r="L17" s="223"/>
      <c r="M17" s="223"/>
      <c r="N17" s="223"/>
      <c r="O17" s="228"/>
      <c r="P17" s="228"/>
      <c r="Q17" s="228"/>
      <c r="R17" s="228"/>
      <c r="S17" s="228"/>
      <c r="T17" s="231"/>
      <c r="U17" s="231"/>
      <c r="V17" s="231"/>
      <c r="W17" s="232"/>
      <c r="X17" s="232"/>
      <c r="Y17" s="231"/>
      <c r="Z17" s="226"/>
      <c r="AA17" s="105"/>
      <c r="AB17" s="133"/>
    </row>
    <row r="18" spans="1:28" s="90" customFormat="1" x14ac:dyDescent="0.25">
      <c r="A18" s="132" t="s">
        <v>353</v>
      </c>
      <c r="B18" s="237"/>
      <c r="C18" s="238"/>
      <c r="D18" s="239"/>
      <c r="E18" s="240"/>
      <c r="F18" s="241"/>
      <c r="G18" s="238"/>
      <c r="H18" s="238"/>
      <c r="I18" s="222"/>
      <c r="J18" s="222"/>
      <c r="K18" s="222"/>
      <c r="L18" s="223"/>
      <c r="M18" s="223"/>
      <c r="N18" s="223"/>
      <c r="O18" s="228"/>
      <c r="P18" s="228"/>
      <c r="Q18" s="228"/>
      <c r="R18" s="228"/>
      <c r="S18" s="228"/>
      <c r="T18" s="231"/>
      <c r="U18" s="231"/>
      <c r="V18" s="231"/>
      <c r="W18" s="232"/>
      <c r="X18" s="232"/>
      <c r="Y18" s="231"/>
      <c r="Z18" s="226"/>
      <c r="AA18" s="105"/>
      <c r="AB18" s="133"/>
    </row>
    <row r="19" spans="1:28" s="90" customFormat="1" x14ac:dyDescent="0.25">
      <c r="A19" s="132" t="s">
        <v>354</v>
      </c>
      <c r="B19" s="237"/>
      <c r="C19" s="238"/>
      <c r="D19" s="239"/>
      <c r="E19" s="240"/>
      <c r="F19" s="241"/>
      <c r="G19" s="238"/>
      <c r="H19" s="238"/>
      <c r="I19" s="222"/>
      <c r="J19" s="222"/>
      <c r="K19" s="222"/>
      <c r="L19" s="223"/>
      <c r="M19" s="223"/>
      <c r="N19" s="223"/>
      <c r="O19" s="228"/>
      <c r="P19" s="228"/>
      <c r="Q19" s="228"/>
      <c r="R19" s="228"/>
      <c r="S19" s="228"/>
      <c r="T19" s="231"/>
      <c r="U19" s="231"/>
      <c r="V19" s="231"/>
      <c r="W19" s="232"/>
      <c r="X19" s="232"/>
      <c r="Y19" s="231"/>
      <c r="Z19" s="226"/>
      <c r="AA19" s="105"/>
      <c r="AB19" s="133"/>
    </row>
    <row r="20" spans="1:28" s="91" customFormat="1" x14ac:dyDescent="0.25">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row>
    <row r="21" spans="1:28" ht="135" customHeight="1" x14ac:dyDescent="0.2">
      <c r="A21" s="121" t="s">
        <v>106</v>
      </c>
      <c r="B21" s="106"/>
      <c r="D21" s="121" t="s">
        <v>123</v>
      </c>
      <c r="E21" s="106"/>
      <c r="F21" s="92"/>
      <c r="G21" s="92"/>
      <c r="H21" s="92"/>
      <c r="I21" s="92"/>
      <c r="J21" s="92"/>
      <c r="K21" s="92"/>
      <c r="L21" s="92"/>
      <c r="M21" s="92"/>
      <c r="N21" s="92"/>
      <c r="O21" s="92"/>
      <c r="P21" s="92"/>
      <c r="Q21" s="92"/>
      <c r="R21" s="92"/>
      <c r="S21" s="92"/>
      <c r="T21" s="92"/>
      <c r="U21" s="92"/>
      <c r="V21" s="92"/>
      <c r="W21" s="92"/>
      <c r="X21" s="92"/>
      <c r="Y21" s="92"/>
      <c r="Z21" s="92"/>
      <c r="AA21" s="92"/>
      <c r="AB21" s="92"/>
    </row>
    <row r="22" spans="1:28" x14ac:dyDescent="0.2">
      <c r="A22" s="98"/>
      <c r="B22" s="98"/>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row>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ory of Schemes'!B1" display="BACK to Inventory"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7FC99F7-04D5-4470-A802-BD50D20B7D10}">
            <xm:f>$D5=HID_dropdown!$B$2</xm:f>
            <x14:dxf>
              <fill>
                <patternFill>
                  <bgColor rgb="FFF3EBF9"/>
                </patternFill>
              </fill>
            </x14:dxf>
          </x14:cfRule>
          <xm:sqref>W5:X19</xm:sqref>
        </x14:conditionalFormatting>
        <x14:conditionalFormatting xmlns:xm="http://schemas.microsoft.com/office/excel/2006/main">
          <x14:cfRule type="expression" priority="2" id="{236AAC1F-2676-4C37-85F0-ED1181265884}">
            <xm:f>$O5=HID_dropdown!$G$3</xm:f>
            <x14:dxf>
              <fill>
                <patternFill>
                  <bgColor theme="1"/>
                </patternFill>
              </fill>
            </x14:dxf>
          </x14:cfRule>
          <xm:sqref>P5:R19</xm:sqref>
        </x14:conditionalFormatting>
        <x14:conditionalFormatting xmlns:xm="http://schemas.microsoft.com/office/excel/2006/main">
          <x14:cfRule type="expression" priority="3" id="{C58AEA07-18AB-4E27-BB39-15646DD6110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8DC2385-E614-4E7A-B742-525000268A0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
    <pageSetUpPr autoPageBreaks="0"/>
  </sheetPr>
  <dimension ref="A1:Q34"/>
  <sheetViews>
    <sheetView zoomScaleNormal="100" workbookViewId="0">
      <selection activeCell="B7" sqref="B7"/>
    </sheetView>
  </sheetViews>
  <sheetFormatPr defaultColWidth="0" defaultRowHeight="12.75" zeroHeight="1" x14ac:dyDescent="0.25"/>
  <cols>
    <col min="1" max="1" width="24.28515625" style="135" customWidth="1"/>
    <col min="2" max="7" width="14.28515625" style="135" customWidth="1"/>
    <col min="8" max="8" width="2.7109375" style="134" customWidth="1"/>
    <col min="9" max="17" width="0" style="135" hidden="1" customWidth="1"/>
    <col min="18" max="16384" width="9.140625" style="135" hidden="1"/>
  </cols>
  <sheetData>
    <row r="1" spans="1:8" ht="16.5" customHeight="1" thickBot="1" x14ac:dyDescent="0.3">
      <c r="A1" s="107" t="s">
        <v>325</v>
      </c>
      <c r="B1" s="144"/>
      <c r="C1" s="144"/>
      <c r="D1" s="144"/>
      <c r="E1" s="144"/>
      <c r="F1" s="144"/>
      <c r="G1" s="144"/>
      <c r="H1" s="144"/>
    </row>
    <row r="2" spans="1:8" ht="13.5" thickTop="1" x14ac:dyDescent="0.25">
      <c r="A2" s="144"/>
      <c r="B2" s="144"/>
      <c r="C2" s="144"/>
      <c r="D2" s="144"/>
      <c r="E2" s="144"/>
      <c r="F2" s="144"/>
      <c r="G2" s="144"/>
      <c r="H2" s="144"/>
    </row>
    <row r="3" spans="1:8" ht="15.75" x14ac:dyDescent="0.25">
      <c r="A3" s="145" t="s">
        <v>2</v>
      </c>
      <c r="B3" s="144"/>
      <c r="C3" s="144"/>
      <c r="D3" s="144"/>
      <c r="E3" s="144"/>
      <c r="F3" s="144"/>
      <c r="G3" s="144"/>
      <c r="H3" s="144"/>
    </row>
    <row r="4" spans="1:8" ht="30" customHeight="1" x14ac:dyDescent="0.25">
      <c r="A4" s="270" t="s">
        <v>3</v>
      </c>
      <c r="B4" s="270"/>
      <c r="C4" s="270"/>
      <c r="D4" s="270"/>
      <c r="E4" s="270"/>
      <c r="F4" s="270"/>
      <c r="G4" s="270"/>
      <c r="H4" s="144"/>
    </row>
    <row r="5" spans="1:8" ht="15" customHeight="1" x14ac:dyDescent="0.25">
      <c r="A5" s="146"/>
      <c r="B5" s="271" t="s">
        <v>4</v>
      </c>
      <c r="C5" s="272"/>
      <c r="D5" s="271" t="s">
        <v>5</v>
      </c>
      <c r="E5" s="272"/>
      <c r="F5" s="271" t="s">
        <v>6</v>
      </c>
      <c r="G5" s="272"/>
      <c r="H5" s="144"/>
    </row>
    <row r="6" spans="1:8" ht="38.25" x14ac:dyDescent="0.25">
      <c r="A6" s="147"/>
      <c r="B6" s="148" t="s">
        <v>304</v>
      </c>
      <c r="C6" s="149" t="s">
        <v>286</v>
      </c>
      <c r="D6" s="148" t="s">
        <v>304</v>
      </c>
      <c r="E6" s="149" t="s">
        <v>288</v>
      </c>
      <c r="F6" s="148" t="s">
        <v>304</v>
      </c>
      <c r="G6" s="149" t="s">
        <v>287</v>
      </c>
      <c r="H6" s="144"/>
    </row>
    <row r="7" spans="1:8" x14ac:dyDescent="0.25">
      <c r="A7" s="150" t="s">
        <v>114</v>
      </c>
      <c r="B7" s="251"/>
      <c r="C7" s="251"/>
      <c r="D7" s="251"/>
      <c r="E7" s="251"/>
      <c r="F7" s="251"/>
      <c r="G7" s="251"/>
      <c r="H7" s="144"/>
    </row>
    <row r="8" spans="1:8" x14ac:dyDescent="0.25">
      <c r="A8" s="151" t="s">
        <v>8</v>
      </c>
      <c r="B8" s="251"/>
      <c r="C8" s="251"/>
      <c r="D8" s="251"/>
      <c r="E8" s="251"/>
      <c r="F8" s="251"/>
      <c r="G8" s="251"/>
      <c r="H8" s="144"/>
    </row>
    <row r="9" spans="1:8" x14ac:dyDescent="0.25">
      <c r="A9" s="152" t="s">
        <v>9</v>
      </c>
      <c r="B9" s="251"/>
      <c r="C9" s="251"/>
      <c r="D9" s="251"/>
      <c r="E9" s="251"/>
      <c r="F9" s="251"/>
      <c r="G9" s="251"/>
      <c r="H9" s="144"/>
    </row>
    <row r="10" spans="1:8" x14ac:dyDescent="0.25">
      <c r="A10" s="152" t="s">
        <v>0</v>
      </c>
      <c r="B10" s="251"/>
      <c r="C10" s="251"/>
      <c r="D10" s="251"/>
      <c r="E10" s="251"/>
      <c r="F10" s="251"/>
      <c r="G10" s="251"/>
      <c r="H10" s="144"/>
    </row>
    <row r="11" spans="1:8" x14ac:dyDescent="0.25">
      <c r="A11" s="150" t="s">
        <v>7</v>
      </c>
      <c r="B11" s="252"/>
      <c r="C11" s="252"/>
      <c r="D11" s="252"/>
      <c r="E11" s="252"/>
      <c r="F11" s="252"/>
      <c r="G11" s="252"/>
      <c r="H11" s="144"/>
    </row>
    <row r="12" spans="1:8" x14ac:dyDescent="0.25">
      <c r="A12" s="144"/>
      <c r="B12" s="144"/>
      <c r="C12" s="144"/>
      <c r="D12" s="144"/>
      <c r="E12" s="144"/>
      <c r="F12" s="144"/>
      <c r="G12" s="144"/>
      <c r="H12" s="144"/>
    </row>
    <row r="13" spans="1:8" ht="15.75" x14ac:dyDescent="0.25">
      <c r="A13" s="145" t="s">
        <v>10</v>
      </c>
      <c r="B13" s="144"/>
      <c r="C13" s="144"/>
      <c r="D13" s="144"/>
      <c r="E13" s="144"/>
      <c r="F13" s="144"/>
      <c r="G13" s="144"/>
      <c r="H13" s="144"/>
    </row>
    <row r="14" spans="1:8" x14ac:dyDescent="0.25">
      <c r="A14" s="153" t="s">
        <v>99</v>
      </c>
      <c r="B14" s="144"/>
      <c r="C14" s="144"/>
      <c r="D14" s="144"/>
      <c r="E14" s="144"/>
      <c r="F14" s="144"/>
      <c r="G14" s="144"/>
      <c r="H14" s="144"/>
    </row>
    <row r="15" spans="1:8" x14ac:dyDescent="0.25">
      <c r="A15" s="144"/>
      <c r="B15" s="144"/>
      <c r="C15" s="144"/>
      <c r="D15" s="144"/>
      <c r="E15" s="144"/>
      <c r="F15" s="144"/>
      <c r="G15" s="144"/>
      <c r="H15" s="144"/>
    </row>
    <row r="16" spans="1:8" ht="38.25" x14ac:dyDescent="0.25">
      <c r="A16" s="154"/>
      <c r="B16" s="155" t="s">
        <v>100</v>
      </c>
      <c r="C16" s="155" t="s">
        <v>101</v>
      </c>
      <c r="D16" s="155" t="s">
        <v>102</v>
      </c>
      <c r="E16" s="155" t="s">
        <v>113</v>
      </c>
      <c r="F16" s="144"/>
      <c r="G16" s="144"/>
      <c r="H16" s="144"/>
    </row>
    <row r="17" spans="1:17" x14ac:dyDescent="0.25">
      <c r="A17" s="156" t="s">
        <v>108</v>
      </c>
      <c r="B17" s="253"/>
      <c r="C17" s="162"/>
      <c r="D17" s="162"/>
      <c r="E17" s="162"/>
      <c r="F17" s="144"/>
      <c r="G17" s="144"/>
      <c r="H17" s="144"/>
    </row>
    <row r="18" spans="1:17" x14ac:dyDescent="0.25">
      <c r="A18" s="156" t="s">
        <v>11</v>
      </c>
      <c r="B18" s="253"/>
      <c r="C18" s="162"/>
      <c r="D18" s="162"/>
      <c r="E18" s="162"/>
      <c r="F18" s="144"/>
      <c r="G18" s="144"/>
      <c r="H18" s="144"/>
    </row>
    <row r="19" spans="1:17" x14ac:dyDescent="0.25">
      <c r="A19" s="156" t="s">
        <v>12</v>
      </c>
      <c r="B19" s="253"/>
      <c r="C19" s="162"/>
      <c r="D19" s="162"/>
      <c r="E19" s="162"/>
      <c r="F19" s="144"/>
      <c r="G19" s="144"/>
      <c r="H19" s="144"/>
    </row>
    <row r="20" spans="1:17" x14ac:dyDescent="0.25">
      <c r="A20" s="156" t="s">
        <v>15</v>
      </c>
      <c r="B20" s="253"/>
      <c r="C20" s="162"/>
      <c r="D20" s="162"/>
      <c r="E20" s="162"/>
      <c r="F20" s="144"/>
      <c r="G20" s="144"/>
      <c r="H20" s="144"/>
    </row>
    <row r="21" spans="1:17" x14ac:dyDescent="0.25">
      <c r="A21" s="157" t="s">
        <v>13</v>
      </c>
      <c r="B21" s="253"/>
      <c r="C21" s="162"/>
      <c r="D21" s="162"/>
      <c r="E21" s="162"/>
      <c r="F21" s="144"/>
      <c r="G21" s="144"/>
      <c r="H21" s="144"/>
    </row>
    <row r="22" spans="1:17" x14ac:dyDescent="0.25">
      <c r="A22" s="157" t="s">
        <v>14</v>
      </c>
      <c r="B22" s="253"/>
      <c r="C22" s="162"/>
      <c r="D22" s="162"/>
      <c r="E22" s="162"/>
      <c r="F22" s="144"/>
      <c r="G22" s="144"/>
      <c r="H22" s="144"/>
    </row>
    <row r="23" spans="1:17" x14ac:dyDescent="0.25">
      <c r="A23" s="157" t="s">
        <v>16</v>
      </c>
      <c r="B23" s="253"/>
      <c r="C23" s="162"/>
      <c r="D23" s="162"/>
      <c r="E23" s="162"/>
      <c r="F23" s="144"/>
      <c r="G23" s="144"/>
      <c r="H23" s="144"/>
    </row>
    <row r="24" spans="1:17" x14ac:dyDescent="0.25">
      <c r="A24" s="157" t="s">
        <v>25</v>
      </c>
      <c r="B24" s="253"/>
      <c r="C24" s="162"/>
      <c r="D24" s="162"/>
      <c r="E24" s="162"/>
      <c r="F24" s="144"/>
      <c r="G24" s="144"/>
      <c r="H24" s="144"/>
    </row>
    <row r="25" spans="1:17" x14ac:dyDescent="0.25">
      <c r="A25" s="157" t="s">
        <v>26</v>
      </c>
      <c r="B25" s="253"/>
      <c r="C25" s="162"/>
      <c r="D25" s="162"/>
      <c r="E25" s="162"/>
      <c r="F25" s="144"/>
      <c r="G25" s="144"/>
      <c r="H25" s="144"/>
    </row>
    <row r="26" spans="1:17" x14ac:dyDescent="0.25">
      <c r="A26" s="158" t="s">
        <v>107</v>
      </c>
      <c r="B26" s="253"/>
      <c r="C26" s="162"/>
      <c r="D26" s="162"/>
      <c r="E26" s="162"/>
      <c r="F26" s="144"/>
      <c r="G26" s="144"/>
      <c r="H26" s="144"/>
      <c r="O26" s="136"/>
      <c r="P26" s="136"/>
      <c r="Q26" s="136"/>
    </row>
    <row r="27" spans="1:17" x14ac:dyDescent="0.25">
      <c r="A27" s="159"/>
      <c r="B27" s="159"/>
      <c r="C27" s="159"/>
      <c r="D27" s="159"/>
      <c r="E27" s="144"/>
      <c r="F27" s="144"/>
      <c r="G27" s="144"/>
      <c r="H27" s="144"/>
      <c r="O27" s="136"/>
      <c r="Q27" s="136"/>
    </row>
    <row r="28" spans="1:17" ht="135" customHeight="1" x14ac:dyDescent="0.25">
      <c r="A28" s="160" t="s">
        <v>106</v>
      </c>
      <c r="B28" s="273"/>
      <c r="C28" s="273"/>
      <c r="D28" s="160" t="s">
        <v>123</v>
      </c>
      <c r="E28" s="274"/>
      <c r="F28" s="274"/>
      <c r="G28" s="161"/>
      <c r="H28" s="144"/>
      <c r="O28" s="138"/>
      <c r="P28" s="138"/>
      <c r="Q28" s="138"/>
    </row>
    <row r="29" spans="1:17" x14ac:dyDescent="0.25">
      <c r="A29" s="159"/>
      <c r="B29" s="159"/>
      <c r="C29" s="159"/>
      <c r="D29" s="159"/>
      <c r="E29" s="159"/>
      <c r="F29" s="159"/>
      <c r="G29" s="144"/>
      <c r="H29" s="144"/>
      <c r="O29" s="138"/>
      <c r="P29" s="138"/>
      <c r="Q29" s="138"/>
    </row>
    <row r="30" spans="1:17" hidden="1" x14ac:dyDescent="0.25">
      <c r="B30" s="137"/>
      <c r="C30" s="137"/>
      <c r="D30" s="137"/>
      <c r="E30" s="137"/>
      <c r="F30" s="137"/>
      <c r="G30" s="134"/>
    </row>
    <row r="31" spans="1:17" ht="135" hidden="1" customHeight="1" x14ac:dyDescent="0.25">
      <c r="B31" s="137"/>
      <c r="C31" s="137"/>
      <c r="D31" s="137"/>
      <c r="E31" s="137"/>
      <c r="F31" s="137"/>
      <c r="G31" s="134"/>
    </row>
    <row r="32" spans="1:17" hidden="1" x14ac:dyDescent="0.25">
      <c r="A32" s="137"/>
      <c r="B32" s="137"/>
      <c r="C32" s="137"/>
      <c r="D32" s="137"/>
      <c r="E32" s="137"/>
      <c r="F32" s="137"/>
      <c r="G32" s="134"/>
    </row>
    <row r="33" spans="1:6" hidden="1" x14ac:dyDescent="0.25">
      <c r="A33" s="139"/>
      <c r="B33" s="139"/>
      <c r="C33" s="139"/>
      <c r="D33" s="139"/>
      <c r="E33" s="139"/>
      <c r="F33" s="139"/>
    </row>
    <row r="34" spans="1:6" hidden="1" x14ac:dyDescent="0.25">
      <c r="A34" s="139"/>
      <c r="B34" s="139"/>
      <c r="C34" s="139"/>
      <c r="D34" s="139"/>
      <c r="E34" s="139"/>
      <c r="F34" s="139"/>
    </row>
  </sheetData>
  <sheetProtection selectLockedCells="1"/>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ory of Schemes'!A1" display="BACK to Inventory of Sche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7">
    <pageSetUpPr autoPageBreaks="0"/>
  </sheetPr>
  <dimension ref="A1:R106"/>
  <sheetViews>
    <sheetView topLeftCell="A9" workbookViewId="0">
      <selection activeCell="E16" sqref="E16"/>
    </sheetView>
  </sheetViews>
  <sheetFormatPr defaultColWidth="0" defaultRowHeight="15" zeroHeight="1" x14ac:dyDescent="0.25"/>
  <cols>
    <col min="1" max="5" width="10.42578125" style="118" customWidth="1"/>
    <col min="6" max="6" width="10.42578125" style="1" customWidth="1"/>
    <col min="7" max="7" width="19.42578125" style="118" customWidth="1"/>
    <col min="8" max="8" width="19.7109375" style="118" bestFit="1" customWidth="1"/>
    <col min="9" max="17" width="11" style="118" customWidth="1"/>
    <col min="18" max="18" width="12.28515625" style="118" customWidth="1"/>
    <col min="19" max="16384" width="12.28515625" style="118" hidden="1"/>
  </cols>
  <sheetData>
    <row r="1" spans="1:17" ht="37.5" customHeight="1" x14ac:dyDescent="0.25">
      <c r="A1" s="117" t="s">
        <v>433</v>
      </c>
      <c r="B1" s="117" t="s">
        <v>421</v>
      </c>
      <c r="C1" s="117" t="s">
        <v>422</v>
      </c>
      <c r="D1" s="117" t="s">
        <v>423</v>
      </c>
      <c r="E1" s="117" t="s">
        <v>424</v>
      </c>
      <c r="F1" s="117" t="s">
        <v>425</v>
      </c>
      <c r="G1" s="117" t="s">
        <v>426</v>
      </c>
      <c r="H1" s="117" t="s">
        <v>427</v>
      </c>
      <c r="I1" s="117" t="s">
        <v>428</v>
      </c>
      <c r="J1" s="117" t="s">
        <v>429</v>
      </c>
      <c r="K1" s="117" t="s">
        <v>432</v>
      </c>
      <c r="L1" s="117" t="s">
        <v>431</v>
      </c>
      <c r="M1" s="117" t="s">
        <v>430</v>
      </c>
      <c r="N1" s="117" t="s">
        <v>434</v>
      </c>
      <c r="O1" s="117" t="s">
        <v>435</v>
      </c>
      <c r="P1" s="169" t="s">
        <v>448</v>
      </c>
      <c r="Q1" s="170" t="s">
        <v>448</v>
      </c>
    </row>
    <row r="2" spans="1:17" ht="37.5" customHeight="1" x14ac:dyDescent="0.25">
      <c r="A2" s="120" t="s">
        <v>332</v>
      </c>
      <c r="B2" s="120" t="s">
        <v>27</v>
      </c>
      <c r="C2" s="120" t="s">
        <v>377</v>
      </c>
      <c r="D2" s="120" t="s">
        <v>82</v>
      </c>
      <c r="E2" s="120" t="s">
        <v>6</v>
      </c>
      <c r="F2" s="120" t="s">
        <v>398</v>
      </c>
      <c r="G2" s="120" t="s">
        <v>334</v>
      </c>
      <c r="H2" s="120" t="s">
        <v>393</v>
      </c>
      <c r="I2" s="120" t="s">
        <v>336</v>
      </c>
      <c r="J2" s="120" t="s">
        <v>338</v>
      </c>
      <c r="K2" s="120" t="s">
        <v>38</v>
      </c>
      <c r="L2" s="120" t="s">
        <v>401</v>
      </c>
      <c r="M2" s="120" t="s">
        <v>436</v>
      </c>
      <c r="N2" s="120" t="s">
        <v>37</v>
      </c>
      <c r="O2" s="120" t="s">
        <v>367</v>
      </c>
      <c r="P2" s="165" t="s">
        <v>449</v>
      </c>
      <c r="Q2" s="166" t="s">
        <v>449</v>
      </c>
    </row>
    <row r="3" spans="1:17" ht="37.5" customHeight="1" x14ac:dyDescent="0.25">
      <c r="A3" s="120" t="s">
        <v>333</v>
      </c>
      <c r="B3" s="120" t="s">
        <v>335</v>
      </c>
      <c r="C3" s="120" t="s">
        <v>389</v>
      </c>
      <c r="D3" s="120" t="s">
        <v>375</v>
      </c>
      <c r="E3" s="120" t="s">
        <v>5</v>
      </c>
      <c r="F3" s="120" t="s">
        <v>399</v>
      </c>
      <c r="G3" s="120" t="s">
        <v>94</v>
      </c>
      <c r="H3" s="120" t="s">
        <v>391</v>
      </c>
      <c r="I3" s="120" t="s">
        <v>337</v>
      </c>
      <c r="J3" s="120" t="s">
        <v>339</v>
      </c>
      <c r="K3" s="120" t="s">
        <v>39</v>
      </c>
      <c r="L3" s="120" t="s">
        <v>400</v>
      </c>
      <c r="M3" s="120" t="s">
        <v>40</v>
      </c>
      <c r="N3" s="120"/>
      <c r="O3" s="120" t="s">
        <v>364</v>
      </c>
      <c r="P3" s="165" t="s">
        <v>450</v>
      </c>
      <c r="Q3" s="166" t="s">
        <v>450</v>
      </c>
    </row>
    <row r="4" spans="1:17" ht="37.5" customHeight="1" x14ac:dyDescent="0.25">
      <c r="A4" s="120" t="s">
        <v>371</v>
      </c>
      <c r="B4" s="120" t="s">
        <v>328</v>
      </c>
      <c r="C4" s="120" t="s">
        <v>386</v>
      </c>
      <c r="D4" s="120" t="s">
        <v>390</v>
      </c>
      <c r="E4" s="120" t="s">
        <v>406</v>
      </c>
      <c r="F4" s="120" t="s">
        <v>371</v>
      </c>
      <c r="G4" s="120"/>
      <c r="H4" s="120" t="s">
        <v>392</v>
      </c>
      <c r="I4" s="120"/>
      <c r="J4" s="120"/>
      <c r="K4" s="120"/>
      <c r="L4" s="120" t="s">
        <v>361</v>
      </c>
      <c r="M4" s="120" t="s">
        <v>36</v>
      </c>
      <c r="N4" s="120"/>
      <c r="O4" s="120" t="s">
        <v>365</v>
      </c>
      <c r="P4" s="165" t="s">
        <v>43</v>
      </c>
      <c r="Q4" s="166" t="s">
        <v>43</v>
      </c>
    </row>
    <row r="5" spans="1:17" ht="37.5" customHeight="1" x14ac:dyDescent="0.25">
      <c r="A5" s="120"/>
      <c r="B5" s="120" t="s">
        <v>330</v>
      </c>
      <c r="C5" s="120" t="s">
        <v>376</v>
      </c>
      <c r="D5" s="120" t="s">
        <v>387</v>
      </c>
      <c r="E5" s="120"/>
      <c r="F5" s="120"/>
      <c r="G5" s="120"/>
      <c r="H5" s="120"/>
      <c r="I5" s="120"/>
      <c r="J5" s="120"/>
      <c r="K5" s="120"/>
      <c r="L5" s="120"/>
      <c r="M5" s="120" t="s">
        <v>41</v>
      </c>
      <c r="N5" s="120"/>
      <c r="O5" s="120" t="s">
        <v>88</v>
      </c>
      <c r="P5" s="165" t="s">
        <v>20</v>
      </c>
      <c r="Q5" s="166" t="s">
        <v>20</v>
      </c>
    </row>
    <row r="6" spans="1:17" ht="37.5" customHeight="1" x14ac:dyDescent="0.25">
      <c r="A6" s="120"/>
      <c r="B6" s="120" t="s">
        <v>329</v>
      </c>
      <c r="C6" s="120" t="s">
        <v>91</v>
      </c>
      <c r="D6" s="120"/>
      <c r="E6" s="120"/>
      <c r="F6" s="120"/>
      <c r="G6" s="120"/>
      <c r="H6" s="120"/>
      <c r="I6" s="120"/>
      <c r="J6" s="120"/>
      <c r="K6" s="120"/>
      <c r="L6" s="120"/>
      <c r="M6" s="120"/>
      <c r="N6" s="120"/>
      <c r="O6" s="120" t="s">
        <v>366</v>
      </c>
      <c r="P6" s="165" t="s">
        <v>21</v>
      </c>
      <c r="Q6" s="166" t="s">
        <v>21</v>
      </c>
    </row>
    <row r="7" spans="1:17" ht="37.5" customHeight="1" x14ac:dyDescent="0.25">
      <c r="A7" s="120"/>
      <c r="B7" s="120" t="s">
        <v>29</v>
      </c>
      <c r="C7" s="120" t="s">
        <v>378</v>
      </c>
      <c r="D7" s="120"/>
      <c r="E7" s="120"/>
      <c r="H7" s="120"/>
      <c r="I7" s="120"/>
      <c r="J7" s="120"/>
      <c r="K7" s="120"/>
      <c r="L7" s="120"/>
      <c r="M7" s="120"/>
      <c r="N7" s="120"/>
      <c r="O7" s="120" t="s">
        <v>370</v>
      </c>
      <c r="P7" s="165" t="s">
        <v>44</v>
      </c>
      <c r="Q7" s="166" t="s">
        <v>44</v>
      </c>
    </row>
    <row r="8" spans="1:17" ht="37.5" customHeight="1" x14ac:dyDescent="0.25">
      <c r="A8" s="120"/>
      <c r="B8" s="120" t="s">
        <v>18</v>
      </c>
      <c r="C8" s="120" t="s">
        <v>379</v>
      </c>
      <c r="D8" s="120"/>
      <c r="E8" s="120"/>
      <c r="H8" s="167"/>
      <c r="I8" s="120"/>
      <c r="J8" s="120"/>
      <c r="K8" s="120"/>
      <c r="L8" s="120"/>
      <c r="M8" s="120"/>
      <c r="N8" s="120"/>
      <c r="O8" s="120" t="s">
        <v>368</v>
      </c>
      <c r="P8" s="165" t="s">
        <v>45</v>
      </c>
      <c r="Q8" s="166" t="s">
        <v>45</v>
      </c>
    </row>
    <row r="9" spans="1:17" ht="37.5" customHeight="1" x14ac:dyDescent="0.25">
      <c r="A9" s="120"/>
      <c r="B9" s="120" t="s">
        <v>82</v>
      </c>
      <c r="C9" s="120" t="s">
        <v>92</v>
      </c>
      <c r="D9" s="120"/>
      <c r="E9" s="120"/>
      <c r="H9" s="168"/>
      <c r="I9" s="120"/>
      <c r="J9" s="120"/>
      <c r="K9" s="120"/>
      <c r="L9" s="120"/>
      <c r="M9" s="120"/>
      <c r="N9" s="120"/>
      <c r="O9" s="120" t="s">
        <v>369</v>
      </c>
      <c r="P9" s="165" t="s">
        <v>46</v>
      </c>
      <c r="Q9" s="166" t="s">
        <v>46</v>
      </c>
    </row>
    <row r="10" spans="1:17" ht="37.5" customHeight="1" x14ac:dyDescent="0.25">
      <c r="A10" s="120"/>
      <c r="B10" s="120" t="s">
        <v>331</v>
      </c>
      <c r="C10" s="120" t="s">
        <v>93</v>
      </c>
      <c r="D10" s="120"/>
      <c r="E10" s="120"/>
      <c r="H10" s="168"/>
      <c r="I10" s="120"/>
      <c r="J10" s="120"/>
      <c r="K10" s="120"/>
      <c r="L10" s="120"/>
      <c r="M10" s="120"/>
      <c r="N10" s="120"/>
      <c r="O10" s="120" t="s">
        <v>402</v>
      </c>
      <c r="P10" s="165" t="s">
        <v>47</v>
      </c>
      <c r="Q10" s="166" t="s">
        <v>47</v>
      </c>
    </row>
    <row r="11" spans="1:17" ht="37.5" customHeight="1" x14ac:dyDescent="0.25">
      <c r="A11" s="120"/>
      <c r="B11" s="120" t="s">
        <v>30</v>
      </c>
      <c r="C11" s="120" t="s">
        <v>388</v>
      </c>
      <c r="D11" s="120"/>
      <c r="E11" s="120"/>
      <c r="H11" s="168"/>
      <c r="I11" s="120"/>
      <c r="J11" s="120"/>
      <c r="K11" s="120"/>
      <c r="L11" s="120"/>
      <c r="M11" s="120"/>
      <c r="N11" s="120"/>
      <c r="O11" s="120" t="s">
        <v>403</v>
      </c>
      <c r="P11" s="165" t="s">
        <v>48</v>
      </c>
      <c r="Q11" s="166" t="s">
        <v>48</v>
      </c>
    </row>
    <row r="12" spans="1:17" ht="37.5" customHeight="1" x14ac:dyDescent="0.25">
      <c r="A12" s="120"/>
      <c r="B12" s="120" t="s">
        <v>410</v>
      </c>
      <c r="C12" s="120" t="s">
        <v>441</v>
      </c>
      <c r="D12" s="120"/>
      <c r="E12" s="120"/>
      <c r="H12" s="168"/>
      <c r="I12" s="120"/>
      <c r="J12" s="120"/>
      <c r="K12" s="120"/>
      <c r="L12" s="120"/>
      <c r="M12" s="120"/>
      <c r="N12" s="120"/>
      <c r="O12" s="120" t="s">
        <v>404</v>
      </c>
      <c r="P12" s="165" t="s">
        <v>49</v>
      </c>
      <c r="Q12" s="166" t="s">
        <v>49</v>
      </c>
    </row>
    <row r="13" spans="1:17" ht="36" customHeight="1" x14ac:dyDescent="0.25">
      <c r="B13" s="118" t="s">
        <v>440</v>
      </c>
      <c r="C13" s="118" t="s">
        <v>440</v>
      </c>
      <c r="H13" s="164"/>
      <c r="L13" s="119"/>
      <c r="P13" s="165" t="s">
        <v>50</v>
      </c>
      <c r="Q13" s="166" t="s">
        <v>50</v>
      </c>
    </row>
    <row r="14" spans="1:17" ht="36" customHeight="1" x14ac:dyDescent="0.25">
      <c r="B14" s="119"/>
      <c r="H14" s="164"/>
      <c r="M14" s="119"/>
      <c r="P14" s="165" t="s">
        <v>51</v>
      </c>
      <c r="Q14" s="166" t="s">
        <v>51</v>
      </c>
    </row>
    <row r="15" spans="1:17" ht="36" customHeight="1" x14ac:dyDescent="0.25">
      <c r="B15" s="119"/>
      <c r="H15" s="163"/>
      <c r="M15" s="119"/>
      <c r="P15" s="165" t="s">
        <v>52</v>
      </c>
      <c r="Q15" s="166" t="s">
        <v>52</v>
      </c>
    </row>
    <row r="16" spans="1:17" ht="36" customHeight="1" x14ac:dyDescent="0.25">
      <c r="A16" s="174"/>
      <c r="B16" s="175"/>
      <c r="C16" s="176"/>
      <c r="D16" s="176"/>
      <c r="E16" s="176"/>
      <c r="F16" s="182"/>
      <c r="G16" s="176"/>
      <c r="H16" s="176"/>
      <c r="I16" s="176"/>
      <c r="J16" s="176"/>
      <c r="M16" s="119"/>
      <c r="P16" s="165" t="s">
        <v>53</v>
      </c>
      <c r="Q16" s="166" t="s">
        <v>53</v>
      </c>
    </row>
    <row r="17" spans="1:17" ht="30" customHeight="1" x14ac:dyDescent="0.25">
      <c r="A17" s="178"/>
      <c r="B17" s="179" t="s">
        <v>515</v>
      </c>
      <c r="C17" s="177"/>
      <c r="D17" s="176"/>
      <c r="E17" s="176"/>
      <c r="F17" s="182"/>
      <c r="G17" s="176"/>
      <c r="H17" s="176"/>
      <c r="I17" s="176"/>
      <c r="J17" s="176"/>
      <c r="M17" s="119"/>
      <c r="P17" s="165" t="s">
        <v>54</v>
      </c>
      <c r="Q17" s="166" t="s">
        <v>54</v>
      </c>
    </row>
    <row r="18" spans="1:17" ht="30" customHeight="1" x14ac:dyDescent="0.25">
      <c r="A18" s="178">
        <v>1</v>
      </c>
      <c r="B18" s="180" t="s">
        <v>518</v>
      </c>
      <c r="C18" s="177"/>
      <c r="D18" s="176"/>
      <c r="E18" s="176"/>
      <c r="F18" s="182"/>
      <c r="G18" s="176"/>
      <c r="H18" s="176"/>
      <c r="I18" s="176"/>
      <c r="J18" s="176"/>
      <c r="M18" s="119"/>
      <c r="P18" s="165" t="s">
        <v>55</v>
      </c>
      <c r="Q18" s="166" t="s">
        <v>55</v>
      </c>
    </row>
    <row r="19" spans="1:17" ht="30" customHeight="1" x14ac:dyDescent="0.25">
      <c r="A19" s="178">
        <v>2</v>
      </c>
      <c r="B19" s="180" t="s">
        <v>521</v>
      </c>
      <c r="C19" s="177"/>
      <c r="D19" s="176"/>
      <c r="E19" s="176"/>
      <c r="F19" s="182"/>
      <c r="G19" s="176"/>
      <c r="H19" s="176"/>
      <c r="I19" s="176"/>
      <c r="J19" s="176"/>
      <c r="M19" s="119"/>
      <c r="P19" s="165" t="s">
        <v>56</v>
      </c>
      <c r="Q19" s="166" t="s">
        <v>56</v>
      </c>
    </row>
    <row r="20" spans="1:17" ht="30" customHeight="1" x14ac:dyDescent="0.25">
      <c r="A20" s="178">
        <v>3</v>
      </c>
      <c r="B20" s="180" t="s">
        <v>522</v>
      </c>
      <c r="C20" s="177"/>
      <c r="D20" s="176"/>
      <c r="E20" s="176"/>
      <c r="F20" s="182"/>
      <c r="G20" s="176"/>
      <c r="H20" s="176"/>
      <c r="I20" s="176"/>
      <c r="J20" s="176"/>
      <c r="M20" s="119"/>
      <c r="P20" s="165" t="s">
        <v>57</v>
      </c>
      <c r="Q20" s="166" t="s">
        <v>57</v>
      </c>
    </row>
    <row r="21" spans="1:17" ht="30" customHeight="1" x14ac:dyDescent="0.25">
      <c r="A21" s="178">
        <v>4</v>
      </c>
      <c r="B21" s="180" t="s">
        <v>523</v>
      </c>
      <c r="C21" s="177"/>
      <c r="D21" s="176"/>
      <c r="E21" s="176"/>
      <c r="F21" s="182"/>
      <c r="G21" s="176"/>
      <c r="H21" s="176"/>
      <c r="I21" s="176"/>
      <c r="J21" s="176"/>
      <c r="M21" s="119"/>
      <c r="P21" s="165" t="s">
        <v>58</v>
      </c>
      <c r="Q21" s="166" t="s">
        <v>58</v>
      </c>
    </row>
    <row r="22" spans="1:17" ht="30" customHeight="1" x14ac:dyDescent="0.25">
      <c r="A22" s="178">
        <v>5</v>
      </c>
      <c r="B22" s="180" t="s">
        <v>524</v>
      </c>
      <c r="C22" s="177"/>
      <c r="D22" s="176"/>
      <c r="E22" s="176"/>
      <c r="F22" s="182"/>
      <c r="G22" s="176"/>
      <c r="H22" s="176"/>
      <c r="I22" s="176"/>
      <c r="J22" s="176"/>
      <c r="M22" s="119"/>
      <c r="P22" s="165" t="s">
        <v>59</v>
      </c>
      <c r="Q22" s="166" t="s">
        <v>59</v>
      </c>
    </row>
    <row r="23" spans="1:17" ht="30" customHeight="1" x14ac:dyDescent="0.25">
      <c r="A23" s="178">
        <v>6</v>
      </c>
      <c r="B23" s="180" t="s">
        <v>525</v>
      </c>
      <c r="C23" s="177"/>
      <c r="D23" s="176"/>
      <c r="E23" s="178" t="s">
        <v>532</v>
      </c>
      <c r="F23" s="180" t="s">
        <v>526</v>
      </c>
      <c r="H23" s="176"/>
      <c r="I23" s="176"/>
      <c r="J23" s="176"/>
      <c r="M23" s="119"/>
      <c r="P23" s="165" t="s">
        <v>60</v>
      </c>
      <c r="Q23" s="166" t="s">
        <v>60</v>
      </c>
    </row>
    <row r="24" spans="1:17" ht="30" customHeight="1" x14ac:dyDescent="0.25">
      <c r="A24" s="178">
        <v>7</v>
      </c>
      <c r="B24" s="180" t="s">
        <v>527</v>
      </c>
      <c r="C24" s="177"/>
      <c r="D24" s="176"/>
      <c r="E24" s="176"/>
      <c r="F24" s="182"/>
      <c r="G24" s="176"/>
      <c r="H24" s="176"/>
      <c r="I24" s="176"/>
      <c r="J24" s="176"/>
      <c r="M24" s="119"/>
      <c r="P24" s="165" t="s">
        <v>61</v>
      </c>
      <c r="Q24" s="166" t="s">
        <v>61</v>
      </c>
    </row>
    <row r="25" spans="1:17" ht="30" customHeight="1" x14ac:dyDescent="0.25">
      <c r="A25" s="178">
        <v>8</v>
      </c>
      <c r="B25" s="180" t="s">
        <v>528</v>
      </c>
      <c r="C25" s="177"/>
      <c r="D25" s="176"/>
      <c r="E25" s="176"/>
      <c r="F25" s="182"/>
      <c r="G25" s="176"/>
      <c r="H25" s="176"/>
      <c r="I25" s="176"/>
      <c r="J25" s="176"/>
      <c r="M25" s="111"/>
      <c r="P25" s="165" t="s">
        <v>62</v>
      </c>
      <c r="Q25" s="166" t="s">
        <v>62</v>
      </c>
    </row>
    <row r="26" spans="1:17" ht="30" customHeight="1" x14ac:dyDescent="0.25">
      <c r="A26" s="178">
        <v>9</v>
      </c>
      <c r="B26" s="180" t="s">
        <v>529</v>
      </c>
      <c r="C26" s="177"/>
      <c r="D26" s="176"/>
      <c r="E26" s="176"/>
      <c r="F26" s="182"/>
      <c r="G26" s="176"/>
      <c r="H26" s="176"/>
      <c r="I26" s="176"/>
      <c r="J26" s="176"/>
      <c r="M26" s="111"/>
      <c r="P26" s="165" t="s">
        <v>63</v>
      </c>
      <c r="Q26" s="166" t="s">
        <v>63</v>
      </c>
    </row>
    <row r="27" spans="1:17" ht="30" customHeight="1" x14ac:dyDescent="0.25">
      <c r="A27" s="178">
        <v>10</v>
      </c>
      <c r="B27" s="180" t="s">
        <v>530</v>
      </c>
      <c r="C27" s="177"/>
      <c r="D27" s="176"/>
      <c r="E27" s="176"/>
      <c r="F27" s="182"/>
      <c r="G27" s="176"/>
      <c r="H27" s="176"/>
      <c r="I27" s="176"/>
      <c r="J27" s="176"/>
      <c r="M27" s="111"/>
      <c r="P27" s="165" t="s">
        <v>64</v>
      </c>
      <c r="Q27" s="166" t="s">
        <v>64</v>
      </c>
    </row>
    <row r="28" spans="1:17" ht="30" customHeight="1" x14ac:dyDescent="0.25">
      <c r="A28" s="178">
        <v>11</v>
      </c>
      <c r="B28" s="181" t="s">
        <v>516</v>
      </c>
      <c r="C28" s="177"/>
      <c r="D28" s="176"/>
      <c r="E28" s="176"/>
      <c r="F28" s="182"/>
      <c r="G28" s="176"/>
      <c r="H28" s="176"/>
      <c r="I28" s="176"/>
      <c r="J28" s="176"/>
      <c r="M28" s="111"/>
      <c r="P28" s="165" t="s">
        <v>65</v>
      </c>
      <c r="Q28" s="166" t="s">
        <v>65</v>
      </c>
    </row>
    <row r="29" spans="1:17" ht="30" customHeight="1" x14ac:dyDescent="0.25">
      <c r="A29" s="178">
        <v>12</v>
      </c>
      <c r="B29" s="181" t="s">
        <v>531</v>
      </c>
      <c r="C29" s="177"/>
      <c r="D29" s="176"/>
      <c r="E29" s="176"/>
      <c r="F29" s="182"/>
      <c r="G29" s="176"/>
      <c r="H29" s="176"/>
      <c r="I29" s="176"/>
      <c r="J29" s="176"/>
      <c r="M29" s="111"/>
      <c r="P29" s="165" t="s">
        <v>66</v>
      </c>
      <c r="Q29" s="166" t="s">
        <v>66</v>
      </c>
    </row>
    <row r="30" spans="1:17" ht="30" customHeight="1" x14ac:dyDescent="0.25">
      <c r="A30" s="178">
        <v>13</v>
      </c>
      <c r="B30" s="180" t="s">
        <v>517</v>
      </c>
      <c r="C30" s="177"/>
      <c r="D30" s="176"/>
      <c r="E30" s="176"/>
      <c r="F30" s="182"/>
      <c r="G30" s="176"/>
      <c r="H30" s="176"/>
      <c r="I30" s="176"/>
      <c r="J30" s="176"/>
      <c r="M30" s="111"/>
      <c r="P30" s="165" t="s">
        <v>67</v>
      </c>
      <c r="Q30" s="166" t="s">
        <v>67</v>
      </c>
    </row>
    <row r="31" spans="1:17" ht="30" customHeight="1" x14ac:dyDescent="0.25">
      <c r="A31" s="178">
        <v>14</v>
      </c>
      <c r="B31" s="180" t="s">
        <v>533</v>
      </c>
      <c r="C31" s="177"/>
      <c r="D31" s="176"/>
      <c r="E31" s="176"/>
      <c r="F31" s="182"/>
      <c r="G31" s="176"/>
      <c r="H31" s="176"/>
      <c r="I31" s="176"/>
      <c r="J31" s="176"/>
      <c r="M31" s="111"/>
      <c r="P31" s="165" t="s">
        <v>68</v>
      </c>
      <c r="Q31" s="166" t="s">
        <v>68</v>
      </c>
    </row>
    <row r="32" spans="1:17" ht="30" customHeight="1" x14ac:dyDescent="0.25">
      <c r="A32" s="178">
        <v>15</v>
      </c>
      <c r="B32" s="180" t="s">
        <v>534</v>
      </c>
      <c r="C32" s="177"/>
      <c r="D32" s="176"/>
      <c r="E32" s="176"/>
      <c r="M32" s="111"/>
      <c r="P32" s="165" t="s">
        <v>69</v>
      </c>
      <c r="Q32" s="166" t="s">
        <v>69</v>
      </c>
    </row>
    <row r="33" spans="13:17" x14ac:dyDescent="0.25">
      <c r="M33" s="111"/>
      <c r="P33" s="165" t="s">
        <v>70</v>
      </c>
      <c r="Q33" s="166" t="s">
        <v>70</v>
      </c>
    </row>
    <row r="34" spans="13:17" x14ac:dyDescent="0.25">
      <c r="M34" s="111"/>
      <c r="P34" s="165" t="s">
        <v>71</v>
      </c>
      <c r="Q34" s="166" t="s">
        <v>71</v>
      </c>
    </row>
    <row r="35" spans="13:17" x14ac:dyDescent="0.25">
      <c r="P35" s="165" t="s">
        <v>72</v>
      </c>
      <c r="Q35" s="166" t="s">
        <v>72</v>
      </c>
    </row>
    <row r="36" spans="13:17" x14ac:dyDescent="0.25">
      <c r="P36" s="165" t="s">
        <v>73</v>
      </c>
      <c r="Q36" s="166" t="s">
        <v>73</v>
      </c>
    </row>
    <row r="37" spans="13:17" x14ac:dyDescent="0.25">
      <c r="P37" s="165" t="s">
        <v>74</v>
      </c>
      <c r="Q37" s="166" t="s">
        <v>74</v>
      </c>
    </row>
    <row r="38" spans="13:17" x14ac:dyDescent="0.25">
      <c r="P38" s="165" t="s">
        <v>75</v>
      </c>
      <c r="Q38" s="166" t="s">
        <v>75</v>
      </c>
    </row>
    <row r="39" spans="13:17" x14ac:dyDescent="0.25">
      <c r="P39" s="165" t="s">
        <v>76</v>
      </c>
      <c r="Q39" s="166" t="s">
        <v>76</v>
      </c>
    </row>
    <row r="40" spans="13:17" x14ac:dyDescent="0.25">
      <c r="P40" s="165" t="s">
        <v>77</v>
      </c>
      <c r="Q40" s="166" t="s">
        <v>77</v>
      </c>
    </row>
    <row r="41" spans="13:17" x14ac:dyDescent="0.25">
      <c r="P41" s="165" t="s">
        <v>78</v>
      </c>
      <c r="Q41" s="166" t="s">
        <v>78</v>
      </c>
    </row>
    <row r="42" spans="13:17" x14ac:dyDescent="0.25">
      <c r="P42" s="165" t="s">
        <v>79</v>
      </c>
      <c r="Q42" s="166" t="s">
        <v>79</v>
      </c>
    </row>
    <row r="43" spans="13:17" x14ac:dyDescent="0.25">
      <c r="P43" s="165" t="s">
        <v>80</v>
      </c>
      <c r="Q43" s="166" t="s">
        <v>80</v>
      </c>
    </row>
    <row r="44" spans="13:17" x14ac:dyDescent="0.25">
      <c r="P44" s="165" t="s">
        <v>451</v>
      </c>
      <c r="Q44" s="166" t="s">
        <v>453</v>
      </c>
    </row>
    <row r="45" spans="13:17" x14ac:dyDescent="0.25">
      <c r="P45" s="165" t="s">
        <v>452</v>
      </c>
      <c r="Q45" s="166" t="s">
        <v>454</v>
      </c>
    </row>
    <row r="46" spans="13:17" x14ac:dyDescent="0.25">
      <c r="Q46" s="166" t="s">
        <v>455</v>
      </c>
    </row>
    <row r="47" spans="13:17" x14ac:dyDescent="0.25">
      <c r="Q47" s="166" t="s">
        <v>456</v>
      </c>
    </row>
    <row r="48" spans="13:17" x14ac:dyDescent="0.25">
      <c r="Q48" s="166" t="s">
        <v>457</v>
      </c>
    </row>
    <row r="49" spans="17:17" x14ac:dyDescent="0.25">
      <c r="Q49" s="166" t="s">
        <v>458</v>
      </c>
    </row>
    <row r="50" spans="17:17" x14ac:dyDescent="0.25">
      <c r="Q50" s="166" t="s">
        <v>459</v>
      </c>
    </row>
    <row r="51" spans="17:17" x14ac:dyDescent="0.25">
      <c r="Q51" s="166" t="s">
        <v>460</v>
      </c>
    </row>
    <row r="52" spans="17:17" x14ac:dyDescent="0.25">
      <c r="Q52" s="166" t="s">
        <v>461</v>
      </c>
    </row>
    <row r="53" spans="17:17" x14ac:dyDescent="0.25">
      <c r="Q53" s="166" t="s">
        <v>462</v>
      </c>
    </row>
    <row r="54" spans="17:17" x14ac:dyDescent="0.25">
      <c r="Q54" s="166" t="s">
        <v>463</v>
      </c>
    </row>
    <row r="55" spans="17:17" x14ac:dyDescent="0.25">
      <c r="Q55" s="166" t="s">
        <v>464</v>
      </c>
    </row>
    <row r="56" spans="17:17" x14ac:dyDescent="0.25">
      <c r="Q56" s="166" t="s">
        <v>465</v>
      </c>
    </row>
    <row r="57" spans="17:17" x14ac:dyDescent="0.25">
      <c r="Q57" s="166" t="s">
        <v>466</v>
      </c>
    </row>
    <row r="58" spans="17:17" x14ac:dyDescent="0.25">
      <c r="Q58" s="166" t="s">
        <v>467</v>
      </c>
    </row>
    <row r="59" spans="17:17" x14ac:dyDescent="0.25">
      <c r="Q59" s="166" t="s">
        <v>468</v>
      </c>
    </row>
    <row r="60" spans="17:17" x14ac:dyDescent="0.25">
      <c r="Q60" s="166" t="s">
        <v>469</v>
      </c>
    </row>
    <row r="61" spans="17:17" x14ac:dyDescent="0.25">
      <c r="Q61" s="166" t="s">
        <v>470</v>
      </c>
    </row>
    <row r="62" spans="17:17" x14ac:dyDescent="0.25">
      <c r="Q62" s="166" t="s">
        <v>471</v>
      </c>
    </row>
    <row r="63" spans="17:17" x14ac:dyDescent="0.25">
      <c r="Q63" s="166" t="s">
        <v>472</v>
      </c>
    </row>
    <row r="64" spans="17:17" x14ac:dyDescent="0.25">
      <c r="Q64" s="166" t="s">
        <v>473</v>
      </c>
    </row>
    <row r="65" spans="17:17" x14ac:dyDescent="0.25">
      <c r="Q65" s="166" t="s">
        <v>474</v>
      </c>
    </row>
    <row r="66" spans="17:17" x14ac:dyDescent="0.25">
      <c r="Q66" s="166" t="s">
        <v>475</v>
      </c>
    </row>
    <row r="67" spans="17:17" x14ac:dyDescent="0.25">
      <c r="Q67" s="166" t="s">
        <v>476</v>
      </c>
    </row>
    <row r="68" spans="17:17" x14ac:dyDescent="0.25">
      <c r="Q68" s="166" t="s">
        <v>477</v>
      </c>
    </row>
    <row r="69" spans="17:17" x14ac:dyDescent="0.25">
      <c r="Q69" s="166" t="s">
        <v>478</v>
      </c>
    </row>
    <row r="70" spans="17:17" x14ac:dyDescent="0.25">
      <c r="Q70" s="166" t="s">
        <v>479</v>
      </c>
    </row>
    <row r="71" spans="17:17" x14ac:dyDescent="0.25">
      <c r="Q71" s="166" t="s">
        <v>480</v>
      </c>
    </row>
    <row r="72" spans="17:17" x14ac:dyDescent="0.25">
      <c r="Q72" s="166" t="s">
        <v>481</v>
      </c>
    </row>
    <row r="73" spans="17:17" x14ac:dyDescent="0.25">
      <c r="Q73" s="166" t="s">
        <v>482</v>
      </c>
    </row>
    <row r="74" spans="17:17" x14ac:dyDescent="0.25">
      <c r="Q74" s="166" t="s">
        <v>483</v>
      </c>
    </row>
    <row r="75" spans="17:17" x14ac:dyDescent="0.25">
      <c r="Q75" s="166" t="s">
        <v>484</v>
      </c>
    </row>
    <row r="76" spans="17:17" x14ac:dyDescent="0.25">
      <c r="Q76" s="166" t="s">
        <v>485</v>
      </c>
    </row>
    <row r="77" spans="17:17" x14ac:dyDescent="0.25">
      <c r="Q77" s="166" t="s">
        <v>486</v>
      </c>
    </row>
    <row r="78" spans="17:17" x14ac:dyDescent="0.25">
      <c r="Q78" s="166" t="s">
        <v>487</v>
      </c>
    </row>
    <row r="79" spans="17:17" x14ac:dyDescent="0.25">
      <c r="Q79" s="166" t="s">
        <v>488</v>
      </c>
    </row>
    <row r="80" spans="17:17" x14ac:dyDescent="0.25">
      <c r="Q80" s="166" t="s">
        <v>489</v>
      </c>
    </row>
    <row r="81" spans="17:17" x14ac:dyDescent="0.25">
      <c r="Q81" s="166" t="s">
        <v>490</v>
      </c>
    </row>
    <row r="82" spans="17:17" x14ac:dyDescent="0.25">
      <c r="Q82" s="166" t="s">
        <v>491</v>
      </c>
    </row>
    <row r="83" spans="17:17" x14ac:dyDescent="0.25">
      <c r="Q83" s="166" t="s">
        <v>492</v>
      </c>
    </row>
    <row r="84" spans="17:17" x14ac:dyDescent="0.25">
      <c r="Q84" s="166" t="s">
        <v>493</v>
      </c>
    </row>
    <row r="85" spans="17:17" x14ac:dyDescent="0.25">
      <c r="Q85" s="166" t="s">
        <v>494</v>
      </c>
    </row>
    <row r="86" spans="17:17" x14ac:dyDescent="0.25">
      <c r="Q86" s="166" t="s">
        <v>495</v>
      </c>
    </row>
    <row r="87" spans="17:17" x14ac:dyDescent="0.25">
      <c r="Q87" s="166" t="s">
        <v>496</v>
      </c>
    </row>
    <row r="88" spans="17:17" x14ac:dyDescent="0.25">
      <c r="Q88" s="166" t="s">
        <v>497</v>
      </c>
    </row>
    <row r="89" spans="17:17" x14ac:dyDescent="0.25">
      <c r="Q89" s="166" t="s">
        <v>498</v>
      </c>
    </row>
    <row r="90" spans="17:17" x14ac:dyDescent="0.25">
      <c r="Q90" s="166" t="s">
        <v>499</v>
      </c>
    </row>
    <row r="91" spans="17:17" x14ac:dyDescent="0.25">
      <c r="Q91" s="166" t="s">
        <v>500</v>
      </c>
    </row>
    <row r="92" spans="17:17" x14ac:dyDescent="0.25">
      <c r="Q92" s="166" t="s">
        <v>501</v>
      </c>
    </row>
    <row r="93" spans="17:17" x14ac:dyDescent="0.25">
      <c r="Q93" s="166" t="s">
        <v>502</v>
      </c>
    </row>
    <row r="94" spans="17:17" x14ac:dyDescent="0.25">
      <c r="Q94" s="166" t="s">
        <v>503</v>
      </c>
    </row>
    <row r="95" spans="17:17" x14ac:dyDescent="0.25">
      <c r="Q95" s="166" t="s">
        <v>504</v>
      </c>
    </row>
    <row r="96" spans="17:17" x14ac:dyDescent="0.25">
      <c r="Q96" s="166" t="s">
        <v>505</v>
      </c>
    </row>
    <row r="97" spans="17:17" x14ac:dyDescent="0.25">
      <c r="Q97" s="166" t="s">
        <v>506</v>
      </c>
    </row>
    <row r="98" spans="17:17" x14ac:dyDescent="0.25">
      <c r="Q98" s="166" t="s">
        <v>507</v>
      </c>
    </row>
    <row r="99" spans="17:17" x14ac:dyDescent="0.25">
      <c r="Q99" s="166" t="s">
        <v>508</v>
      </c>
    </row>
    <row r="100" spans="17:17" x14ac:dyDescent="0.25">
      <c r="Q100" s="166" t="s">
        <v>509</v>
      </c>
    </row>
    <row r="101" spans="17:17" x14ac:dyDescent="0.25">
      <c r="Q101" s="166" t="s">
        <v>510</v>
      </c>
    </row>
    <row r="102" spans="17:17" x14ac:dyDescent="0.25">
      <c r="Q102" s="166" t="s">
        <v>511</v>
      </c>
    </row>
    <row r="103" spans="17:17" x14ac:dyDescent="0.25">
      <c r="Q103" s="166" t="s">
        <v>512</v>
      </c>
    </row>
    <row r="104" spans="17:17" x14ac:dyDescent="0.25">
      <c r="Q104" s="166" t="s">
        <v>451</v>
      </c>
    </row>
    <row r="105" spans="17:17" x14ac:dyDescent="0.25">
      <c r="Q105" s="166" t="s">
        <v>452</v>
      </c>
    </row>
    <row r="106" spans="17:17" x14ac:dyDescent="0.25"/>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drawing r:id="rId2"/>
  <tableParts count="1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FFC000"/>
  </sheetPr>
  <dimension ref="A1:D31"/>
  <sheetViews>
    <sheetView workbookViewId="0">
      <selection activeCell="A10" sqref="A10"/>
    </sheetView>
  </sheetViews>
  <sheetFormatPr defaultRowHeight="15" x14ac:dyDescent="0.25"/>
  <cols>
    <col min="1" max="1" width="41.5703125" bestFit="1" customWidth="1"/>
    <col min="4" max="4" width="9.7109375" customWidth="1"/>
    <col min="6" max="6" width="32.28515625" bestFit="1" customWidth="1"/>
  </cols>
  <sheetData>
    <row r="1" spans="1:4" x14ac:dyDescent="0.25">
      <c r="A1" s="29"/>
      <c r="B1" s="29" t="s">
        <v>33</v>
      </c>
      <c r="C1" s="29" t="s">
        <v>35</v>
      </c>
      <c r="D1" s="29" t="s">
        <v>34</v>
      </c>
    </row>
    <row r="2" spans="1:4" x14ac:dyDescent="0.25">
      <c r="A2" s="16" t="s">
        <v>125</v>
      </c>
      <c r="B2" s="17"/>
      <c r="C2" s="17"/>
      <c r="D2" s="18"/>
    </row>
    <row r="3" spans="1:4" x14ac:dyDescent="0.25">
      <c r="A3" s="19" t="s">
        <v>126</v>
      </c>
      <c r="B3" s="20"/>
      <c r="C3" s="20"/>
      <c r="D3" s="21"/>
    </row>
    <row r="4" spans="1:4" x14ac:dyDescent="0.25">
      <c r="A4" s="19" t="s">
        <v>127</v>
      </c>
      <c r="B4" s="20"/>
      <c r="C4" s="20"/>
      <c r="D4" s="21"/>
    </row>
    <row r="5" spans="1:4" x14ac:dyDescent="0.25">
      <c r="A5" s="19" t="s">
        <v>128</v>
      </c>
      <c r="B5" s="20"/>
      <c r="C5" s="20"/>
      <c r="D5" s="21"/>
    </row>
    <row r="6" spans="1:4" x14ac:dyDescent="0.25">
      <c r="A6" s="19" t="s">
        <v>153</v>
      </c>
      <c r="B6" s="20"/>
      <c r="C6" s="20"/>
      <c r="D6" s="21"/>
    </row>
    <row r="7" spans="1:4" x14ac:dyDescent="0.25">
      <c r="A7" s="19" t="s">
        <v>154</v>
      </c>
      <c r="B7" s="20"/>
      <c r="C7" s="20"/>
      <c r="D7" s="21"/>
    </row>
    <row r="8" spans="1:4" s="2" customFormat="1" x14ac:dyDescent="0.25">
      <c r="A8" s="16" t="s">
        <v>90</v>
      </c>
      <c r="B8" s="17"/>
      <c r="C8" s="17"/>
      <c r="D8" s="18"/>
    </row>
    <row r="9" spans="1:4" s="2" customFormat="1" x14ac:dyDescent="0.25">
      <c r="A9" s="19" t="s">
        <v>131</v>
      </c>
      <c r="B9" s="20"/>
      <c r="C9" s="20"/>
      <c r="D9" s="21"/>
    </row>
    <row r="10" spans="1:4" s="2" customFormat="1" x14ac:dyDescent="0.25">
      <c r="A10" s="19"/>
      <c r="B10" s="20"/>
      <c r="C10" s="20"/>
      <c r="D10" s="21"/>
    </row>
    <row r="11" spans="1:4" x14ac:dyDescent="0.25">
      <c r="A11" s="16" t="s">
        <v>137</v>
      </c>
      <c r="B11" s="17"/>
      <c r="C11" s="17"/>
      <c r="D11" s="18"/>
    </row>
    <row r="12" spans="1:4" x14ac:dyDescent="0.25">
      <c r="A12" s="19" t="s">
        <v>136</v>
      </c>
      <c r="B12" s="20"/>
      <c r="C12" s="20"/>
      <c r="D12" s="21"/>
    </row>
    <row r="13" spans="1:4" x14ac:dyDescent="0.25">
      <c r="A13" s="19"/>
      <c r="B13" s="20"/>
      <c r="C13" s="20"/>
      <c r="D13" s="21"/>
    </row>
    <row r="14" spans="1:4" x14ac:dyDescent="0.25">
      <c r="A14" s="16" t="s">
        <v>132</v>
      </c>
      <c r="B14" s="17"/>
      <c r="C14" s="17"/>
      <c r="D14" s="18"/>
    </row>
    <row r="15" spans="1:4" s="3" customFormat="1" x14ac:dyDescent="0.25">
      <c r="A15" s="19" t="s">
        <v>160</v>
      </c>
      <c r="B15" s="20"/>
      <c r="C15" s="20"/>
      <c r="D15" s="21"/>
    </row>
    <row r="16" spans="1:4" x14ac:dyDescent="0.25">
      <c r="A16" s="19" t="s">
        <v>156</v>
      </c>
      <c r="B16" s="20"/>
      <c r="C16" s="20"/>
      <c r="D16" s="21"/>
    </row>
    <row r="17" spans="1:4" x14ac:dyDescent="0.25">
      <c r="A17" s="19" t="s">
        <v>155</v>
      </c>
      <c r="B17" s="20"/>
      <c r="C17" s="20"/>
      <c r="D17" s="21"/>
    </row>
    <row r="18" spans="1:4" s="3" customFormat="1" x14ac:dyDescent="0.25">
      <c r="A18" s="19"/>
      <c r="B18" s="20"/>
      <c r="C18" s="20"/>
      <c r="D18" s="21"/>
    </row>
    <row r="19" spans="1:4" x14ac:dyDescent="0.25">
      <c r="A19" s="16" t="s">
        <v>92</v>
      </c>
      <c r="B19" s="17"/>
      <c r="C19" s="17"/>
      <c r="D19" s="18"/>
    </row>
    <row r="20" spans="1:4" x14ac:dyDescent="0.25">
      <c r="A20" s="19" t="s">
        <v>129</v>
      </c>
      <c r="B20" s="20"/>
      <c r="C20" s="20"/>
      <c r="D20" s="21"/>
    </row>
    <row r="21" spans="1:4" x14ac:dyDescent="0.25">
      <c r="A21" s="19" t="s">
        <v>130</v>
      </c>
      <c r="B21" s="20"/>
      <c r="C21" s="20"/>
      <c r="D21" s="21"/>
    </row>
    <row r="22" spans="1:4" x14ac:dyDescent="0.25">
      <c r="A22" s="19"/>
      <c r="B22" s="20"/>
      <c r="C22" s="20"/>
      <c r="D22" s="21"/>
    </row>
    <row r="23" spans="1:4" x14ac:dyDescent="0.25">
      <c r="A23" s="16" t="s">
        <v>161</v>
      </c>
      <c r="B23" s="17"/>
      <c r="C23" s="17"/>
      <c r="D23" s="18"/>
    </row>
    <row r="24" spans="1:4" x14ac:dyDescent="0.25">
      <c r="A24" s="19" t="s">
        <v>133</v>
      </c>
      <c r="B24" s="20"/>
      <c r="C24" s="20"/>
      <c r="D24" s="21"/>
    </row>
    <row r="25" spans="1:4" x14ac:dyDescent="0.25">
      <c r="A25" s="19"/>
      <c r="B25" s="19"/>
      <c r="C25" s="19"/>
      <c r="D25" s="22"/>
    </row>
    <row r="26" spans="1:4" x14ac:dyDescent="0.25">
      <c r="A26" s="16" t="s">
        <v>134</v>
      </c>
      <c r="B26" s="17"/>
      <c r="C26" s="17"/>
      <c r="D26" s="18"/>
    </row>
    <row r="27" spans="1:4" x14ac:dyDescent="0.25">
      <c r="A27" s="23" t="s">
        <v>135</v>
      </c>
      <c r="B27" s="24"/>
      <c r="C27" s="24"/>
      <c r="D27" s="25"/>
    </row>
    <row r="28" spans="1:4" x14ac:dyDescent="0.25">
      <c r="A28" s="23"/>
      <c r="B28" s="24"/>
      <c r="C28" s="24"/>
      <c r="D28" s="25"/>
    </row>
    <row r="29" spans="1:4" x14ac:dyDescent="0.25">
      <c r="A29" s="16" t="s">
        <v>157</v>
      </c>
      <c r="B29" s="17"/>
      <c r="C29" s="17"/>
      <c r="D29" s="18"/>
    </row>
    <row r="30" spans="1:4" x14ac:dyDescent="0.25">
      <c r="A30" s="23" t="s">
        <v>158</v>
      </c>
      <c r="B30" s="24"/>
      <c r="C30" s="24"/>
      <c r="D30" s="25"/>
    </row>
    <row r="31" spans="1:4" x14ac:dyDescent="0.25">
      <c r="A31" s="26" t="s">
        <v>159</v>
      </c>
      <c r="B31" s="27"/>
      <c r="C31" s="27"/>
      <c r="D31" s="14"/>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6">
    <tabColor rgb="FFFFC000"/>
  </sheetPr>
  <dimension ref="A1:N50"/>
  <sheetViews>
    <sheetView workbookViewId="0"/>
  </sheetViews>
  <sheetFormatPr defaultColWidth="9.140625" defaultRowHeight="15" x14ac:dyDescent="0.25"/>
  <cols>
    <col min="1" max="1" width="9.7109375" style="4" customWidth="1"/>
    <col min="2" max="3" width="63.28515625" style="8" customWidth="1"/>
    <col min="4" max="4" width="44.42578125" style="8" customWidth="1"/>
    <col min="5" max="5" width="47.5703125" style="8" customWidth="1"/>
    <col min="6" max="6" width="11.140625" style="28" customWidth="1"/>
    <col min="7" max="7" width="8.140625" style="8" customWidth="1"/>
    <col min="8" max="8" width="7.5703125" style="8" bestFit="1" customWidth="1"/>
    <col min="9" max="11" width="10.85546875" style="15" customWidth="1"/>
    <col min="12" max="12" width="9.140625" style="12"/>
    <col min="13" max="13" width="11.7109375" style="12" bestFit="1" customWidth="1"/>
    <col min="14" max="14" width="11.42578125" style="12" customWidth="1"/>
    <col min="15" max="16384" width="9.140625" style="4"/>
  </cols>
  <sheetData>
    <row r="1" spans="1:14" x14ac:dyDescent="0.25">
      <c r="A1" s="40"/>
      <c r="B1" s="31" t="s">
        <v>138</v>
      </c>
      <c r="C1" s="5" t="s">
        <v>139</v>
      </c>
      <c r="D1" s="5" t="s">
        <v>162</v>
      </c>
      <c r="E1" s="5" t="s">
        <v>163</v>
      </c>
      <c r="F1" s="275" t="s">
        <v>269</v>
      </c>
      <c r="G1" s="275"/>
      <c r="H1" s="275"/>
      <c r="I1" s="276" t="s">
        <v>270</v>
      </c>
      <c r="J1" s="276"/>
      <c r="K1" s="276"/>
      <c r="L1" s="277" t="s">
        <v>254</v>
      </c>
      <c r="M1" s="277"/>
      <c r="N1" s="277"/>
    </row>
    <row r="2" spans="1:14" x14ac:dyDescent="0.25">
      <c r="A2" s="40"/>
      <c r="B2" s="6"/>
      <c r="C2" s="6"/>
      <c r="D2" s="6"/>
      <c r="E2" s="6"/>
      <c r="F2" s="32" t="s">
        <v>33</v>
      </c>
      <c r="G2" s="33" t="s">
        <v>35</v>
      </c>
      <c r="H2" s="33" t="s">
        <v>34</v>
      </c>
      <c r="I2" s="34" t="s">
        <v>33</v>
      </c>
      <c r="J2" s="34" t="s">
        <v>35</v>
      </c>
      <c r="K2" s="34" t="s">
        <v>34</v>
      </c>
      <c r="L2" s="35" t="s">
        <v>33</v>
      </c>
      <c r="M2" s="35" t="s">
        <v>35</v>
      </c>
      <c r="N2" s="35" t="s">
        <v>34</v>
      </c>
    </row>
    <row r="3" spans="1:14" ht="75" x14ac:dyDescent="0.25">
      <c r="A3" s="30" t="s">
        <v>140</v>
      </c>
      <c r="B3" s="51" t="s">
        <v>283</v>
      </c>
      <c r="C3" s="51" t="s">
        <v>141</v>
      </c>
      <c r="D3" s="51" t="s">
        <v>164</v>
      </c>
      <c r="E3" s="52" t="s">
        <v>268</v>
      </c>
      <c r="F3" s="281" t="s">
        <v>267</v>
      </c>
      <c r="G3" s="281"/>
      <c r="H3" s="281"/>
      <c r="I3" s="53">
        <f>'ADDITIONAL statistics for SDGs'!B9</f>
        <v>0</v>
      </c>
      <c r="J3" s="54" t="s">
        <v>124</v>
      </c>
      <c r="K3" s="54" t="s">
        <v>124</v>
      </c>
      <c r="L3" s="55" t="e">
        <f>20294/I3</f>
        <v>#DIV/0!</v>
      </c>
      <c r="M3" s="54" t="s">
        <v>124</v>
      </c>
      <c r="N3" s="54" t="s">
        <v>124</v>
      </c>
    </row>
    <row r="4" spans="1:14" ht="45" x14ac:dyDescent="0.25">
      <c r="A4" s="278" t="s">
        <v>281</v>
      </c>
      <c r="B4" s="7" t="s">
        <v>260</v>
      </c>
      <c r="C4" s="10" t="s">
        <v>143</v>
      </c>
      <c r="D4" s="9" t="s">
        <v>167</v>
      </c>
      <c r="E4" s="9" t="s">
        <v>168</v>
      </c>
      <c r="F4" s="36"/>
      <c r="G4" s="36"/>
      <c r="H4" s="36"/>
      <c r="I4" s="36">
        <f>'ADDITIONAL statistics for SDGs'!B6</f>
        <v>0</v>
      </c>
      <c r="J4" s="36">
        <f>'ADDITIONAL statistics for SDGs'!C6</f>
        <v>0</v>
      </c>
      <c r="K4" s="36">
        <f>'ADDITIONAL statistics for SDGs'!D6</f>
        <v>0</v>
      </c>
      <c r="L4" s="39" t="e">
        <f t="shared" ref="L4:N7" si="0">F4/I4</f>
        <v>#DIV/0!</v>
      </c>
      <c r="M4" s="39" t="e">
        <f t="shared" si="0"/>
        <v>#DIV/0!</v>
      </c>
      <c r="N4" s="39" t="e">
        <f t="shared" si="0"/>
        <v>#DIV/0!</v>
      </c>
    </row>
    <row r="5" spans="1:14" ht="30" x14ac:dyDescent="0.25">
      <c r="A5" s="278"/>
      <c r="B5" s="7" t="s">
        <v>261</v>
      </c>
      <c r="C5" s="10" t="s">
        <v>144</v>
      </c>
      <c r="D5" s="9" t="s">
        <v>271</v>
      </c>
      <c r="E5" s="9" t="s">
        <v>169</v>
      </c>
      <c r="F5" s="36"/>
      <c r="G5" s="36"/>
      <c r="H5" s="36"/>
      <c r="I5" s="36">
        <f>'ADDITIONAL statistics for SDGs'!B9</f>
        <v>0</v>
      </c>
      <c r="J5" s="36">
        <f>'ADDITIONAL statistics for SDGs'!C9</f>
        <v>0</v>
      </c>
      <c r="K5" s="36">
        <f>'ADDITIONAL statistics for SDGs'!D9</f>
        <v>0</v>
      </c>
      <c r="L5" s="39" t="e">
        <f t="shared" si="0"/>
        <v>#DIV/0!</v>
      </c>
      <c r="M5" s="39" t="e">
        <f t="shared" si="0"/>
        <v>#DIV/0!</v>
      </c>
      <c r="N5" s="39" t="e">
        <f t="shared" si="0"/>
        <v>#DIV/0!</v>
      </c>
    </row>
    <row r="6" spans="1:14" ht="60" x14ac:dyDescent="0.25">
      <c r="A6" s="278"/>
      <c r="B6" s="6" t="s">
        <v>284</v>
      </c>
      <c r="C6" s="6" t="s">
        <v>145</v>
      </c>
      <c r="D6" s="9" t="s">
        <v>170</v>
      </c>
      <c r="E6" s="9" t="s">
        <v>171</v>
      </c>
      <c r="F6" s="36"/>
      <c r="G6" s="36"/>
      <c r="H6" s="36"/>
      <c r="I6" s="36">
        <f>'ADDITIONAL statistics for SDGs'!B24</f>
        <v>0</v>
      </c>
      <c r="J6" s="36">
        <f>'ADDITIONAL statistics for SDGs'!C24</f>
        <v>0</v>
      </c>
      <c r="K6" s="36">
        <f>'ADDITIONAL statistics for SDGs'!D24</f>
        <v>0</v>
      </c>
      <c r="L6" s="39" t="e">
        <f t="shared" si="0"/>
        <v>#DIV/0!</v>
      </c>
      <c r="M6" s="39" t="e">
        <f t="shared" si="0"/>
        <v>#DIV/0!</v>
      </c>
      <c r="N6" s="39" t="e">
        <f t="shared" si="0"/>
        <v>#DIV/0!</v>
      </c>
    </row>
    <row r="7" spans="1:14" ht="30" x14ac:dyDescent="0.25">
      <c r="A7" s="278"/>
      <c r="B7" s="6" t="s">
        <v>262</v>
      </c>
      <c r="C7" s="7" t="s">
        <v>146</v>
      </c>
      <c r="D7" s="9" t="s">
        <v>172</v>
      </c>
      <c r="E7" s="9" t="s">
        <v>256</v>
      </c>
      <c r="F7" s="36"/>
      <c r="G7" s="36"/>
      <c r="H7" s="36"/>
      <c r="I7" s="36">
        <f>'ADDITIONAL statistics for SDGs'!B21</f>
        <v>0</v>
      </c>
      <c r="J7" s="36">
        <f>'ADDITIONAL statistics for SDGs'!C21</f>
        <v>0</v>
      </c>
      <c r="K7" s="36">
        <f>'ADDITIONAL statistics for SDGs'!D21</f>
        <v>0</v>
      </c>
      <c r="L7" s="39" t="e">
        <f t="shared" si="0"/>
        <v>#DIV/0!</v>
      </c>
      <c r="M7" s="39" t="e">
        <f t="shared" si="0"/>
        <v>#DIV/0!</v>
      </c>
      <c r="N7" s="39" t="e">
        <f t="shared" si="0"/>
        <v>#DIV/0!</v>
      </c>
    </row>
    <row r="8" spans="1:14" ht="60" x14ac:dyDescent="0.25">
      <c r="A8" s="278"/>
      <c r="B8" s="6" t="s">
        <v>285</v>
      </c>
      <c r="C8" s="6" t="s">
        <v>147</v>
      </c>
      <c r="D8" s="9" t="s">
        <v>173</v>
      </c>
      <c r="E8" s="9" t="s">
        <v>174</v>
      </c>
      <c r="F8" s="36"/>
      <c r="G8" s="38"/>
      <c r="H8" s="38"/>
      <c r="I8" s="36">
        <f>'ADDITIONAL statistics for SDGs'!B27</f>
        <v>0</v>
      </c>
      <c r="J8" s="36" t="s">
        <v>124</v>
      </c>
      <c r="K8" s="36">
        <f>'ADDITIONAL statistics for SDGs'!D27</f>
        <v>0</v>
      </c>
      <c r="L8" s="39" t="e">
        <f>F8/I8</f>
        <v>#DIV/0!</v>
      </c>
      <c r="M8" s="39" t="s">
        <v>124</v>
      </c>
      <c r="N8" s="39" t="e">
        <f>H8/K8</f>
        <v>#DIV/0!</v>
      </c>
    </row>
    <row r="9" spans="1:14" ht="30" x14ac:dyDescent="0.25">
      <c r="A9" s="278"/>
      <c r="B9" s="6" t="s">
        <v>263</v>
      </c>
      <c r="C9" s="6" t="s">
        <v>148</v>
      </c>
      <c r="D9" s="9" t="s">
        <v>175</v>
      </c>
      <c r="E9" s="9" t="s">
        <v>176</v>
      </c>
      <c r="F9" s="36"/>
      <c r="G9" s="38"/>
      <c r="H9" s="38"/>
      <c r="I9" s="36">
        <f>'ADDITIONAL statistics for SDGs'!B15</f>
        <v>0</v>
      </c>
      <c r="J9" s="36">
        <f>'ADDITIONAL statistics for SDGs'!C15</f>
        <v>0</v>
      </c>
      <c r="K9" s="36">
        <f>'ADDITIONAL statistics for SDGs'!D15</f>
        <v>0</v>
      </c>
      <c r="L9" s="39" t="e">
        <f>F9/I9</f>
        <v>#DIV/0!</v>
      </c>
      <c r="M9" s="39" t="e">
        <f>G9/J9</f>
        <v>#DIV/0!</v>
      </c>
      <c r="N9" s="39" t="e">
        <f>H9/K9</f>
        <v>#DIV/0!</v>
      </c>
    </row>
    <row r="10" spans="1:14" ht="30" x14ac:dyDescent="0.25">
      <c r="A10" s="278"/>
      <c r="B10" s="6" t="s">
        <v>264</v>
      </c>
      <c r="C10" s="6" t="s">
        <v>149</v>
      </c>
      <c r="D10" s="9" t="s">
        <v>177</v>
      </c>
      <c r="E10" s="9" t="s">
        <v>178</v>
      </c>
      <c r="F10" s="36"/>
      <c r="G10" s="36"/>
      <c r="H10" s="36"/>
      <c r="I10" s="36">
        <f>'ADDITIONAL statistics for SDGs'!B4</f>
        <v>0</v>
      </c>
      <c r="J10" s="36">
        <f>'ADDITIONAL statistics for SDGs'!C4</f>
        <v>0</v>
      </c>
      <c r="K10" s="36">
        <f>'ADDITIONAL statistics for SDGs'!D4</f>
        <v>0</v>
      </c>
      <c r="L10" s="39" t="e">
        <f>F10/I10</f>
        <v>#DIV/0!</v>
      </c>
      <c r="M10" s="39" t="e">
        <f>G10/J10</f>
        <v>#DIV/0!</v>
      </c>
      <c r="N10" s="39" t="e">
        <f>H10/K10</f>
        <v>#DIV/0!</v>
      </c>
    </row>
    <row r="11" spans="1:14" ht="90" x14ac:dyDescent="0.25">
      <c r="A11" s="278"/>
      <c r="B11" s="6" t="s">
        <v>265</v>
      </c>
      <c r="C11" s="6" t="s">
        <v>150</v>
      </c>
      <c r="D11" s="9" t="s">
        <v>179</v>
      </c>
      <c r="E11" s="9" t="s">
        <v>151</v>
      </c>
      <c r="F11" s="36"/>
      <c r="G11" s="36"/>
      <c r="H11" s="36"/>
      <c r="I11" s="36"/>
      <c r="J11" s="36"/>
      <c r="K11" s="36"/>
      <c r="L11" s="39" t="e">
        <f t="shared" ref="L11:L28" si="1">F11/I11</f>
        <v>#DIV/0!</v>
      </c>
      <c r="M11" s="39" t="e">
        <f t="shared" ref="M11:M28" si="2">G11/J11</f>
        <v>#DIV/0!</v>
      </c>
      <c r="N11" s="39" t="e">
        <f t="shared" ref="N11:N28" si="3">H11/K11</f>
        <v>#DIV/0!</v>
      </c>
    </row>
    <row r="12" spans="1:14" ht="60.75" thickBot="1" x14ac:dyDescent="0.3">
      <c r="A12" s="279"/>
      <c r="B12" s="47" t="s">
        <v>266</v>
      </c>
      <c r="C12" s="47" t="s">
        <v>142</v>
      </c>
      <c r="D12" s="48" t="s">
        <v>165</v>
      </c>
      <c r="E12" s="48" t="s">
        <v>166</v>
      </c>
      <c r="F12" s="49"/>
      <c r="G12" s="49"/>
      <c r="H12" s="49"/>
      <c r="I12" s="49">
        <f>'ADDITIONAL statistics for SDGs'!B3</f>
        <v>0</v>
      </c>
      <c r="J12" s="49">
        <f>'ADDITIONAL statistics for SDGs'!C3</f>
        <v>0</v>
      </c>
      <c r="K12" s="49">
        <f>'ADDITIONAL statistics for SDGs'!D3</f>
        <v>0</v>
      </c>
      <c r="L12" s="50" t="e">
        <f>F12/I12</f>
        <v>#DIV/0!</v>
      </c>
      <c r="M12" s="50" t="e">
        <f t="shared" si="2"/>
        <v>#DIV/0!</v>
      </c>
      <c r="N12" s="50" t="e">
        <f t="shared" si="3"/>
        <v>#DIV/0!</v>
      </c>
    </row>
    <row r="13" spans="1:14" ht="15.75" thickTop="1" x14ac:dyDescent="0.25">
      <c r="A13" s="56" t="s">
        <v>152</v>
      </c>
      <c r="B13" s="57"/>
      <c r="C13" s="57"/>
      <c r="D13" s="57"/>
      <c r="E13" s="57"/>
      <c r="F13" s="58"/>
      <c r="G13" s="59"/>
      <c r="H13" s="59"/>
      <c r="I13" s="58"/>
      <c r="J13" s="58"/>
      <c r="K13" s="58"/>
      <c r="L13" s="37"/>
      <c r="M13" s="37"/>
      <c r="N13" s="37"/>
    </row>
    <row r="14" spans="1:14" ht="45" x14ac:dyDescent="0.25">
      <c r="A14" s="278" t="s">
        <v>282</v>
      </c>
      <c r="B14" s="10" t="s">
        <v>180</v>
      </c>
      <c r="C14" s="10" t="s">
        <v>181</v>
      </c>
      <c r="D14" s="10" t="s">
        <v>182</v>
      </c>
      <c r="E14" s="10" t="s">
        <v>183</v>
      </c>
      <c r="F14" s="36"/>
      <c r="G14" s="36"/>
      <c r="H14" s="36"/>
      <c r="I14" s="36">
        <f>'ADDITIONAL statistics for SDGs'!B6</f>
        <v>0</v>
      </c>
      <c r="J14" s="36">
        <f>'ADDITIONAL statistics for SDGs'!C6</f>
        <v>0</v>
      </c>
      <c r="K14" s="36">
        <f>'ADDITIONAL statistics for SDGs'!D6</f>
        <v>0</v>
      </c>
      <c r="L14" s="39" t="e">
        <f t="shared" si="1"/>
        <v>#DIV/0!</v>
      </c>
      <c r="M14" s="39" t="e">
        <f t="shared" si="2"/>
        <v>#DIV/0!</v>
      </c>
      <c r="N14" s="39" t="e">
        <f t="shared" si="3"/>
        <v>#DIV/0!</v>
      </c>
    </row>
    <row r="15" spans="1:14" ht="45" x14ac:dyDescent="0.25">
      <c r="A15" s="278"/>
      <c r="B15" s="10" t="s">
        <v>275</v>
      </c>
      <c r="C15" s="10" t="s">
        <v>184</v>
      </c>
      <c r="D15" s="10" t="s">
        <v>185</v>
      </c>
      <c r="E15" s="10" t="s">
        <v>278</v>
      </c>
      <c r="F15" s="36"/>
      <c r="G15" s="36"/>
      <c r="H15" s="36"/>
      <c r="I15" s="36">
        <f>'ADDITIONAL statistics for SDGs'!B6</f>
        <v>0</v>
      </c>
      <c r="J15" s="36">
        <f>'ADDITIONAL statistics for SDGs'!C6</f>
        <v>0</v>
      </c>
      <c r="K15" s="36">
        <f>'ADDITIONAL statistics for SDGs'!D6</f>
        <v>0</v>
      </c>
      <c r="L15" s="39" t="e">
        <f>F15/I15</f>
        <v>#DIV/0!</v>
      </c>
      <c r="M15" s="39" t="e">
        <f t="shared" si="2"/>
        <v>#DIV/0!</v>
      </c>
      <c r="N15" s="39" t="e">
        <f t="shared" si="3"/>
        <v>#DIV/0!</v>
      </c>
    </row>
    <row r="16" spans="1:14" ht="30" x14ac:dyDescent="0.25">
      <c r="A16" s="278"/>
      <c r="B16" s="10" t="s">
        <v>186</v>
      </c>
      <c r="C16" s="10" t="s">
        <v>187</v>
      </c>
      <c r="D16" s="10" t="s">
        <v>188</v>
      </c>
      <c r="E16" s="9" t="s">
        <v>171</v>
      </c>
      <c r="F16" s="36"/>
      <c r="G16" s="38"/>
      <c r="H16" s="38"/>
      <c r="I16" s="36">
        <f>'ADDITIONAL statistics for SDGs'!B24</f>
        <v>0</v>
      </c>
      <c r="J16" s="36">
        <f>'ADDITIONAL statistics for SDGs'!C24</f>
        <v>0</v>
      </c>
      <c r="K16" s="36">
        <f>'ADDITIONAL statistics for SDGs'!D24</f>
        <v>0</v>
      </c>
      <c r="L16" s="39" t="e">
        <f t="shared" si="1"/>
        <v>#DIV/0!</v>
      </c>
      <c r="M16" s="39" t="e">
        <f t="shared" si="2"/>
        <v>#DIV/0!</v>
      </c>
      <c r="N16" s="39" t="e">
        <f t="shared" si="3"/>
        <v>#DIV/0!</v>
      </c>
    </row>
    <row r="17" spans="1:14" ht="30" x14ac:dyDescent="0.25">
      <c r="A17" s="278"/>
      <c r="B17" s="10" t="s">
        <v>276</v>
      </c>
      <c r="C17" s="10" t="s">
        <v>189</v>
      </c>
      <c r="D17" s="10" t="s">
        <v>190</v>
      </c>
      <c r="E17" s="9" t="s">
        <v>277</v>
      </c>
      <c r="F17" s="36"/>
      <c r="G17" s="36"/>
      <c r="H17" s="36"/>
      <c r="I17" s="36">
        <f>'ADDITIONAL statistics for SDGs'!B24</f>
        <v>0</v>
      </c>
      <c r="J17" s="36">
        <f>'ADDITIONAL statistics for SDGs'!C24</f>
        <v>0</v>
      </c>
      <c r="K17" s="36">
        <f>'ADDITIONAL statistics for SDGs'!D24</f>
        <v>0</v>
      </c>
      <c r="L17" s="39" t="e">
        <f>F17/I17</f>
        <v>#DIV/0!</v>
      </c>
      <c r="M17" s="39" t="e">
        <f t="shared" si="2"/>
        <v>#DIV/0!</v>
      </c>
      <c r="N17" s="39" t="e">
        <f t="shared" si="3"/>
        <v>#DIV/0!</v>
      </c>
    </row>
    <row r="18" spans="1:14" ht="30" x14ac:dyDescent="0.25">
      <c r="A18" s="278"/>
      <c r="B18" s="10" t="s">
        <v>191</v>
      </c>
      <c r="C18" s="10" t="s">
        <v>192</v>
      </c>
      <c r="D18" s="13" t="s">
        <v>193</v>
      </c>
      <c r="E18" s="9" t="s">
        <v>194</v>
      </c>
      <c r="F18" s="36"/>
      <c r="G18" s="38"/>
      <c r="H18" s="38"/>
      <c r="I18" s="42">
        <f>'ADDITIONAL statistics for SDGs'!B12</f>
        <v>0</v>
      </c>
      <c r="J18" s="42">
        <f>'ADDITIONAL statistics for SDGs'!C12</f>
        <v>0</v>
      </c>
      <c r="K18" s="42">
        <f>'ADDITIONAL statistics for SDGs'!D12</f>
        <v>0</v>
      </c>
      <c r="L18" s="39" t="e">
        <f t="shared" si="1"/>
        <v>#DIV/0!</v>
      </c>
      <c r="M18" s="39" t="e">
        <f t="shared" si="2"/>
        <v>#DIV/0!</v>
      </c>
      <c r="N18" s="39" t="e">
        <f t="shared" si="3"/>
        <v>#DIV/0!</v>
      </c>
    </row>
    <row r="19" spans="1:14" ht="30" x14ac:dyDescent="0.25">
      <c r="A19" s="278"/>
      <c r="B19" s="10" t="s">
        <v>195</v>
      </c>
      <c r="C19" s="10" t="s">
        <v>196</v>
      </c>
      <c r="D19" s="13" t="s">
        <v>197</v>
      </c>
      <c r="E19" s="9" t="s">
        <v>194</v>
      </c>
      <c r="F19" s="36"/>
      <c r="G19" s="36"/>
      <c r="H19" s="36"/>
      <c r="I19" s="42">
        <f>'ADDITIONAL statistics for SDGs'!B12</f>
        <v>0</v>
      </c>
      <c r="J19" s="42">
        <f>'ADDITIONAL statistics for SDGs'!C12</f>
        <v>0</v>
      </c>
      <c r="K19" s="42">
        <f>'ADDITIONAL statistics for SDGs'!D12</f>
        <v>0</v>
      </c>
      <c r="L19" s="39" t="e">
        <f t="shared" si="1"/>
        <v>#DIV/0!</v>
      </c>
      <c r="M19" s="39" t="e">
        <f t="shared" si="2"/>
        <v>#DIV/0!</v>
      </c>
      <c r="N19" s="39" t="e">
        <f t="shared" si="3"/>
        <v>#DIV/0!</v>
      </c>
    </row>
    <row r="20" spans="1:14" ht="30" x14ac:dyDescent="0.25">
      <c r="A20" s="278"/>
      <c r="B20" s="10" t="s">
        <v>255</v>
      </c>
      <c r="C20" s="10" t="s">
        <v>258</v>
      </c>
      <c r="D20" s="13" t="s">
        <v>257</v>
      </c>
      <c r="E20" s="9" t="s">
        <v>194</v>
      </c>
      <c r="F20" s="36"/>
      <c r="G20" s="36"/>
      <c r="H20" s="36"/>
      <c r="I20" s="42">
        <f>'ADDITIONAL statistics for SDGs'!B12</f>
        <v>0</v>
      </c>
      <c r="J20" s="42">
        <f>'ADDITIONAL statistics for SDGs'!C12</f>
        <v>0</v>
      </c>
      <c r="K20" s="42">
        <f>'ADDITIONAL statistics for SDGs'!D12</f>
        <v>0</v>
      </c>
      <c r="L20" s="39" t="e">
        <f t="shared" si="1"/>
        <v>#DIV/0!</v>
      </c>
      <c r="M20" s="39" t="e">
        <f t="shared" si="2"/>
        <v>#DIV/0!</v>
      </c>
      <c r="N20" s="39" t="e">
        <f t="shared" si="3"/>
        <v>#DIV/0!</v>
      </c>
    </row>
    <row r="21" spans="1:14" ht="30" x14ac:dyDescent="0.25">
      <c r="A21" s="278"/>
      <c r="B21" s="10" t="s">
        <v>198</v>
      </c>
      <c r="C21" s="10" t="s">
        <v>199</v>
      </c>
      <c r="D21" s="10" t="s">
        <v>200</v>
      </c>
      <c r="E21" s="10" t="s">
        <v>201</v>
      </c>
      <c r="F21" s="36"/>
      <c r="G21" s="38"/>
      <c r="H21" s="38"/>
      <c r="I21" s="36">
        <f>'ADDITIONAL statistics for SDGs'!B21</f>
        <v>0</v>
      </c>
      <c r="J21" s="36">
        <f>'ADDITIONAL statistics for SDGs'!C21</f>
        <v>0</v>
      </c>
      <c r="K21" s="36">
        <f>'ADDITIONAL statistics for SDGs'!D21</f>
        <v>0</v>
      </c>
      <c r="L21" s="39" t="e">
        <f t="shared" si="1"/>
        <v>#DIV/0!</v>
      </c>
      <c r="M21" s="39" t="e">
        <f t="shared" si="2"/>
        <v>#DIV/0!</v>
      </c>
      <c r="N21" s="39" t="e">
        <f t="shared" si="3"/>
        <v>#DIV/0!</v>
      </c>
    </row>
    <row r="22" spans="1:14" ht="30" x14ac:dyDescent="0.25">
      <c r="A22" s="278"/>
      <c r="B22" s="10" t="s">
        <v>202</v>
      </c>
      <c r="C22" s="10" t="s">
        <v>203</v>
      </c>
      <c r="D22" s="10" t="s">
        <v>204</v>
      </c>
      <c r="E22" s="9" t="s">
        <v>259</v>
      </c>
      <c r="F22" s="36"/>
      <c r="G22" s="36"/>
      <c r="H22" s="36"/>
      <c r="I22" s="36">
        <f>'ADDITIONAL statistics for SDGs'!B20</f>
        <v>0</v>
      </c>
      <c r="J22" s="36">
        <f>'ADDITIONAL statistics for SDGs'!C20</f>
        <v>0</v>
      </c>
      <c r="K22" s="36">
        <f>'ADDITIONAL statistics for SDGs'!D20</f>
        <v>0</v>
      </c>
      <c r="L22" s="39" t="e">
        <f t="shared" si="1"/>
        <v>#DIV/0!</v>
      </c>
      <c r="M22" s="39" t="e">
        <f t="shared" si="2"/>
        <v>#DIV/0!</v>
      </c>
      <c r="N22" s="39" t="e">
        <f t="shared" si="3"/>
        <v>#DIV/0!</v>
      </c>
    </row>
    <row r="23" spans="1:14" ht="30" x14ac:dyDescent="0.25">
      <c r="A23" s="278"/>
      <c r="B23" s="10" t="s">
        <v>205</v>
      </c>
      <c r="C23" s="10" t="s">
        <v>206</v>
      </c>
      <c r="D23" s="10" t="s">
        <v>207</v>
      </c>
      <c r="E23" s="10" t="s">
        <v>208</v>
      </c>
      <c r="F23" s="36"/>
      <c r="G23" s="36"/>
      <c r="H23" s="36"/>
      <c r="I23" s="36">
        <f>'ADDITIONAL statistics for SDGs'!B4</f>
        <v>0</v>
      </c>
      <c r="J23" s="36">
        <f>'ADDITIONAL statistics for SDGs'!C4</f>
        <v>0</v>
      </c>
      <c r="K23" s="36">
        <f>'ADDITIONAL statistics for SDGs'!D4</f>
        <v>0</v>
      </c>
      <c r="L23" s="39" t="e">
        <f t="shared" si="1"/>
        <v>#DIV/0!</v>
      </c>
      <c r="M23" s="39" t="e">
        <f t="shared" si="2"/>
        <v>#DIV/0!</v>
      </c>
      <c r="N23" s="39" t="e">
        <f t="shared" si="3"/>
        <v>#DIV/0!</v>
      </c>
    </row>
    <row r="24" spans="1:14" ht="30" x14ac:dyDescent="0.25">
      <c r="A24" s="278"/>
      <c r="B24" s="10" t="s">
        <v>209</v>
      </c>
      <c r="C24" s="10" t="s">
        <v>210</v>
      </c>
      <c r="D24" s="10" t="s">
        <v>207</v>
      </c>
      <c r="E24" s="10" t="s">
        <v>211</v>
      </c>
      <c r="F24" s="36"/>
      <c r="G24" s="36"/>
      <c r="H24" s="36"/>
      <c r="I24" s="36">
        <f>'ADDITIONAL statistics for SDGs'!B4*'Poverty info'!C7</f>
        <v>0</v>
      </c>
      <c r="J24" s="36">
        <f>'ADDITIONAL statistics for SDGs'!C4*'Poverty info'!C7</f>
        <v>0</v>
      </c>
      <c r="K24" s="36">
        <f>'ADDITIONAL statistics for SDGs'!D4*'Poverty info'!C7</f>
        <v>0</v>
      </c>
      <c r="L24" s="39" t="e">
        <f t="shared" si="1"/>
        <v>#DIV/0!</v>
      </c>
      <c r="M24" s="39" t="e">
        <f t="shared" si="2"/>
        <v>#DIV/0!</v>
      </c>
      <c r="N24" s="39" t="e">
        <f t="shared" si="3"/>
        <v>#DIV/0!</v>
      </c>
    </row>
    <row r="25" spans="1:14" ht="30" x14ac:dyDescent="0.25">
      <c r="A25" s="278"/>
      <c r="B25" s="10" t="s">
        <v>212</v>
      </c>
      <c r="C25" s="10" t="s">
        <v>213</v>
      </c>
      <c r="D25" s="10" t="s">
        <v>214</v>
      </c>
      <c r="E25" s="9" t="s">
        <v>166</v>
      </c>
      <c r="F25" s="36"/>
      <c r="G25" s="36"/>
      <c r="H25" s="36"/>
      <c r="I25" s="36">
        <f>'ADDITIONAL statistics for SDGs'!B9</f>
        <v>0</v>
      </c>
      <c r="J25" s="36">
        <f>'ADDITIONAL statistics for SDGs'!C9</f>
        <v>0</v>
      </c>
      <c r="K25" s="36">
        <f>'ADDITIONAL statistics for SDGs'!D9</f>
        <v>0</v>
      </c>
      <c r="L25" s="39" t="e">
        <f t="shared" si="1"/>
        <v>#DIV/0!</v>
      </c>
      <c r="M25" s="39" t="e">
        <f t="shared" si="2"/>
        <v>#DIV/0!</v>
      </c>
      <c r="N25" s="39" t="e">
        <f t="shared" si="3"/>
        <v>#DIV/0!</v>
      </c>
    </row>
    <row r="26" spans="1:14" ht="45" x14ac:dyDescent="0.25">
      <c r="A26" s="278"/>
      <c r="B26" s="10" t="s">
        <v>215</v>
      </c>
      <c r="C26" s="10" t="s">
        <v>216</v>
      </c>
      <c r="D26" s="10" t="s">
        <v>217</v>
      </c>
      <c r="E26" s="10" t="s">
        <v>183</v>
      </c>
      <c r="F26" s="36"/>
      <c r="G26" s="36"/>
      <c r="H26" s="36"/>
      <c r="I26" s="36">
        <f>'ADDITIONAL statistics for SDGs'!B6</f>
        <v>0</v>
      </c>
      <c r="J26" s="36">
        <f>'ADDITIONAL statistics for SDGs'!C6</f>
        <v>0</v>
      </c>
      <c r="K26" s="36">
        <f>'ADDITIONAL statistics for SDGs'!D6</f>
        <v>0</v>
      </c>
      <c r="L26" s="39" t="e">
        <f t="shared" si="1"/>
        <v>#DIV/0!</v>
      </c>
      <c r="M26" s="39" t="e">
        <f t="shared" si="2"/>
        <v>#DIV/0!</v>
      </c>
      <c r="N26" s="39" t="e">
        <f t="shared" si="3"/>
        <v>#DIV/0!</v>
      </c>
    </row>
    <row r="27" spans="1:14" ht="30" x14ac:dyDescent="0.25">
      <c r="A27" s="278"/>
      <c r="B27" s="10" t="s">
        <v>218</v>
      </c>
      <c r="C27" s="10" t="s">
        <v>219</v>
      </c>
      <c r="D27" s="10" t="s">
        <v>220</v>
      </c>
      <c r="E27" s="9" t="s">
        <v>174</v>
      </c>
      <c r="F27" s="36"/>
      <c r="G27" s="38"/>
      <c r="H27" s="38"/>
      <c r="I27" s="36">
        <f>'ADDITIONAL statistics for SDGs'!B27</f>
        <v>0</v>
      </c>
      <c r="J27" s="36">
        <f>'ADDITIONAL statistics for SDGs'!C27</f>
        <v>0</v>
      </c>
      <c r="K27" s="36">
        <f>'ADDITIONAL statistics for SDGs'!D27</f>
        <v>0</v>
      </c>
      <c r="L27" s="39" t="e">
        <f t="shared" si="1"/>
        <v>#DIV/0!</v>
      </c>
      <c r="M27" s="39"/>
      <c r="N27" s="39" t="e">
        <f t="shared" si="3"/>
        <v>#DIV/0!</v>
      </c>
    </row>
    <row r="28" spans="1:14" ht="45.75" thickBot="1" x14ac:dyDescent="0.3">
      <c r="A28" s="279"/>
      <c r="B28" s="63" t="s">
        <v>279</v>
      </c>
      <c r="C28" s="63" t="s">
        <v>221</v>
      </c>
      <c r="D28" s="63" t="s">
        <v>222</v>
      </c>
      <c r="E28" s="48" t="s">
        <v>223</v>
      </c>
      <c r="F28" s="49"/>
      <c r="G28" s="49"/>
      <c r="H28" s="49"/>
      <c r="I28" s="49">
        <f>'Poverty info'!B7</f>
        <v>0</v>
      </c>
      <c r="J28" s="49">
        <f>'Poverty info'!B9</f>
        <v>0</v>
      </c>
      <c r="K28" s="49">
        <f>'Poverty info'!B10</f>
        <v>0</v>
      </c>
      <c r="L28" s="50" t="e">
        <f t="shared" si="1"/>
        <v>#DIV/0!</v>
      </c>
      <c r="M28" s="50" t="e">
        <f t="shared" si="2"/>
        <v>#DIV/0!</v>
      </c>
      <c r="N28" s="50" t="e">
        <f t="shared" si="3"/>
        <v>#DIV/0!</v>
      </c>
    </row>
    <row r="29" spans="1:14" ht="15.75" thickTop="1" x14ac:dyDescent="0.25">
      <c r="A29" s="57"/>
      <c r="B29" s="46"/>
      <c r="C29" s="46"/>
      <c r="D29" s="46"/>
      <c r="E29" s="46"/>
      <c r="F29" s="60"/>
      <c r="G29" s="61"/>
      <c r="H29" s="61"/>
      <c r="I29" s="58"/>
      <c r="J29" s="58"/>
      <c r="K29" s="58"/>
      <c r="L29" s="62"/>
      <c r="M29" s="62"/>
      <c r="N29" s="62"/>
    </row>
    <row r="30" spans="1:14" ht="30" x14ac:dyDescent="0.25">
      <c r="A30" s="278" t="s">
        <v>224</v>
      </c>
      <c r="B30" s="10" t="s">
        <v>225</v>
      </c>
      <c r="C30" s="280" t="s">
        <v>226</v>
      </c>
      <c r="D30" s="10"/>
      <c r="E30" s="10"/>
      <c r="F30" s="43"/>
      <c r="G30" s="44"/>
      <c r="H30" s="44"/>
      <c r="I30" s="41"/>
      <c r="J30" s="41"/>
      <c r="K30" s="41"/>
      <c r="L30" s="45"/>
      <c r="M30" s="45"/>
      <c r="N30" s="45"/>
    </row>
    <row r="31" spans="1:14" x14ac:dyDescent="0.25">
      <c r="A31" s="278"/>
      <c r="B31" s="11" t="s">
        <v>22</v>
      </c>
      <c r="C31" s="280"/>
      <c r="D31" s="10" t="s">
        <v>227</v>
      </c>
      <c r="E31" s="10" t="s">
        <v>228</v>
      </c>
      <c r="F31" s="43"/>
      <c r="G31" s="43"/>
      <c r="H31" s="43"/>
      <c r="I31" s="43">
        <f>'ADDITIONAL statistics for SDGs'!$B$31</f>
        <v>0</v>
      </c>
      <c r="J31" s="43"/>
      <c r="K31" s="43"/>
      <c r="L31" s="45" t="e">
        <f t="shared" ref="L31:L39" si="4">F31/I31</f>
        <v>#DIV/0!</v>
      </c>
      <c r="M31" s="43"/>
      <c r="N31" s="43"/>
    </row>
    <row r="32" spans="1:14" x14ac:dyDescent="0.25">
      <c r="A32" s="278"/>
      <c r="B32" s="11" t="s">
        <v>23</v>
      </c>
      <c r="C32" s="280"/>
      <c r="D32" s="10" t="s">
        <v>229</v>
      </c>
      <c r="E32" s="10" t="s">
        <v>228</v>
      </c>
      <c r="F32" s="43"/>
      <c r="G32" s="43"/>
      <c r="H32" s="43"/>
      <c r="I32" s="43">
        <f>'ADDITIONAL statistics for SDGs'!$B$31</f>
        <v>0</v>
      </c>
      <c r="J32" s="43"/>
      <c r="K32" s="43"/>
      <c r="L32" s="45" t="e">
        <f t="shared" si="4"/>
        <v>#DIV/0!</v>
      </c>
      <c r="M32" s="43"/>
      <c r="N32" s="43"/>
    </row>
    <row r="33" spans="1:14" x14ac:dyDescent="0.25">
      <c r="A33" s="278"/>
      <c r="B33" s="11" t="s">
        <v>87</v>
      </c>
      <c r="C33" s="280"/>
      <c r="D33" s="10" t="s">
        <v>230</v>
      </c>
      <c r="E33" s="10" t="s">
        <v>228</v>
      </c>
      <c r="F33" s="43"/>
      <c r="G33" s="43"/>
      <c r="H33" s="43"/>
      <c r="I33" s="43">
        <f>'ADDITIONAL statistics for SDGs'!$B$31</f>
        <v>0</v>
      </c>
      <c r="J33" s="43"/>
      <c r="K33" s="43"/>
      <c r="L33" s="45" t="e">
        <f t="shared" si="4"/>
        <v>#DIV/0!</v>
      </c>
      <c r="M33" s="43"/>
      <c r="N33" s="43"/>
    </row>
    <row r="34" spans="1:14" x14ac:dyDescent="0.25">
      <c r="A34" s="278"/>
      <c r="B34" s="11" t="s">
        <v>24</v>
      </c>
      <c r="C34" s="280"/>
      <c r="D34" s="10" t="s">
        <v>231</v>
      </c>
      <c r="E34" s="10" t="s">
        <v>228</v>
      </c>
      <c r="F34" s="43"/>
      <c r="G34" s="43"/>
      <c r="H34" s="43"/>
      <c r="I34" s="43">
        <f>'ADDITIONAL statistics for SDGs'!$B$31</f>
        <v>0</v>
      </c>
      <c r="J34" s="43"/>
      <c r="K34" s="43"/>
      <c r="L34" s="45" t="e">
        <f t="shared" si="4"/>
        <v>#DIV/0!</v>
      </c>
      <c r="M34" s="43"/>
      <c r="N34" s="43"/>
    </row>
    <row r="35" spans="1:14" ht="30" x14ac:dyDescent="0.25">
      <c r="A35" s="278"/>
      <c r="B35" s="10" t="s">
        <v>232</v>
      </c>
      <c r="C35" s="282" t="s">
        <v>233</v>
      </c>
      <c r="D35" s="10"/>
      <c r="E35" s="10"/>
      <c r="F35" s="43"/>
      <c r="G35" s="43"/>
      <c r="H35" s="43"/>
      <c r="I35" s="43"/>
      <c r="J35" s="43"/>
      <c r="K35" s="43"/>
      <c r="L35" s="45"/>
      <c r="M35" s="43"/>
      <c r="N35" s="43"/>
    </row>
    <row r="36" spans="1:14" x14ac:dyDescent="0.25">
      <c r="A36" s="278"/>
      <c r="B36" s="11" t="s">
        <v>22</v>
      </c>
      <c r="C36" s="283"/>
      <c r="D36" s="10" t="s">
        <v>234</v>
      </c>
      <c r="E36" s="10" t="s">
        <v>235</v>
      </c>
      <c r="F36" s="43"/>
      <c r="G36" s="44"/>
      <c r="H36" s="44"/>
      <c r="I36" s="44">
        <f>'ADDITIONAL statistics for SDGs'!$B$30</f>
        <v>0</v>
      </c>
      <c r="J36" s="44"/>
      <c r="K36" s="44"/>
      <c r="L36" s="45" t="e">
        <f t="shared" si="4"/>
        <v>#DIV/0!</v>
      </c>
      <c r="M36" s="44"/>
      <c r="N36" s="44"/>
    </row>
    <row r="37" spans="1:14" x14ac:dyDescent="0.25">
      <c r="A37" s="278"/>
      <c r="B37" s="11" t="s">
        <v>23</v>
      </c>
      <c r="C37" s="283"/>
      <c r="D37" s="10" t="s">
        <v>236</v>
      </c>
      <c r="E37" s="10" t="s">
        <v>235</v>
      </c>
      <c r="F37" s="43"/>
      <c r="G37" s="44"/>
      <c r="H37" s="44"/>
      <c r="I37" s="44">
        <f>'ADDITIONAL statistics for SDGs'!B30</f>
        <v>0</v>
      </c>
      <c r="J37" s="44"/>
      <c r="K37" s="44"/>
      <c r="L37" s="45" t="e">
        <f t="shared" si="4"/>
        <v>#DIV/0!</v>
      </c>
      <c r="M37" s="44"/>
      <c r="N37" s="44"/>
    </row>
    <row r="38" spans="1:14" x14ac:dyDescent="0.25">
      <c r="A38" s="278"/>
      <c r="B38" s="11" t="s">
        <v>87</v>
      </c>
      <c r="C38" s="283"/>
      <c r="D38" s="10" t="s">
        <v>237</v>
      </c>
      <c r="E38" s="10" t="s">
        <v>235</v>
      </c>
      <c r="F38" s="43"/>
      <c r="G38" s="44"/>
      <c r="H38" s="44"/>
      <c r="I38" s="44">
        <f>'ADDITIONAL statistics for SDGs'!B30</f>
        <v>0</v>
      </c>
      <c r="J38" s="44"/>
      <c r="K38" s="44"/>
      <c r="L38" s="45" t="e">
        <f t="shared" si="4"/>
        <v>#DIV/0!</v>
      </c>
      <c r="M38" s="44"/>
      <c r="N38" s="44"/>
    </row>
    <row r="39" spans="1:14" x14ac:dyDescent="0.25">
      <c r="A39" s="278"/>
      <c r="B39" s="11" t="s">
        <v>24</v>
      </c>
      <c r="C39" s="283"/>
      <c r="D39" s="10" t="s">
        <v>238</v>
      </c>
      <c r="E39" s="10" t="s">
        <v>235</v>
      </c>
      <c r="F39" s="43"/>
      <c r="G39" s="44"/>
      <c r="H39" s="44"/>
      <c r="I39" s="44">
        <f>'ADDITIONAL statistics for SDGs'!B30</f>
        <v>0</v>
      </c>
      <c r="J39" s="44"/>
      <c r="K39" s="44"/>
      <c r="L39" s="45" t="e">
        <f t="shared" si="4"/>
        <v>#DIV/0!</v>
      </c>
      <c r="M39" s="44"/>
      <c r="N39" s="44"/>
    </row>
    <row r="40" spans="1:14" x14ac:dyDescent="0.25">
      <c r="A40" s="278"/>
      <c r="B40" s="4"/>
      <c r="C40" s="284"/>
      <c r="D40" s="10"/>
      <c r="E40" s="10"/>
      <c r="F40" s="43"/>
      <c r="G40" s="44"/>
      <c r="H40" s="44"/>
      <c r="I40" s="44"/>
      <c r="J40" s="44"/>
      <c r="K40" s="44"/>
      <c r="L40" s="45"/>
      <c r="M40" s="44"/>
      <c r="N40" s="44"/>
    </row>
    <row r="41" spans="1:14" ht="30" x14ac:dyDescent="0.25">
      <c r="A41" s="278"/>
      <c r="B41" s="10" t="s">
        <v>239</v>
      </c>
      <c r="C41" s="280" t="s">
        <v>280</v>
      </c>
      <c r="D41" s="10"/>
      <c r="E41" s="10"/>
      <c r="F41" s="43"/>
      <c r="G41" s="44"/>
      <c r="H41" s="44"/>
      <c r="I41" s="44"/>
      <c r="J41" s="44"/>
      <c r="K41" s="44"/>
      <c r="L41" s="45"/>
      <c r="M41" s="44"/>
      <c r="N41" s="44"/>
    </row>
    <row r="42" spans="1:14" ht="30" x14ac:dyDescent="0.25">
      <c r="A42" s="278"/>
      <c r="B42" s="11" t="s">
        <v>22</v>
      </c>
      <c r="C42" s="280"/>
      <c r="D42" s="10" t="s">
        <v>240</v>
      </c>
      <c r="E42" s="10" t="s">
        <v>241</v>
      </c>
      <c r="F42" s="43"/>
      <c r="G42" s="44"/>
      <c r="H42" s="44"/>
      <c r="I42" s="44">
        <f>'Poverty info'!B23</f>
        <v>0</v>
      </c>
      <c r="J42" s="44"/>
      <c r="K42" s="44"/>
      <c r="L42" s="45" t="e">
        <f>F42/I42</f>
        <v>#DIV/0!</v>
      </c>
      <c r="M42" s="44"/>
      <c r="N42" s="44"/>
    </row>
    <row r="43" spans="1:14" ht="30" x14ac:dyDescent="0.25">
      <c r="A43" s="278"/>
      <c r="B43" s="11" t="s">
        <v>23</v>
      </c>
      <c r="C43" s="280"/>
      <c r="D43" s="10" t="s">
        <v>242</v>
      </c>
      <c r="E43" s="10" t="s">
        <v>243</v>
      </c>
      <c r="F43" s="43"/>
      <c r="G43" s="44"/>
      <c r="H43" s="44"/>
      <c r="I43" s="44">
        <f>'Poverty info'!B22</f>
        <v>0</v>
      </c>
      <c r="J43" s="44"/>
      <c r="K43" s="44"/>
      <c r="L43" s="45" t="e">
        <f t="shared" ref="L43:L50" si="5">F43/I43</f>
        <v>#DIV/0!</v>
      </c>
      <c r="M43" s="44"/>
      <c r="N43" s="44"/>
    </row>
    <row r="44" spans="1:14" ht="30" x14ac:dyDescent="0.25">
      <c r="A44" s="278"/>
      <c r="B44" s="11" t="s">
        <v>116</v>
      </c>
      <c r="C44" s="280"/>
      <c r="D44" s="10" t="s">
        <v>244</v>
      </c>
      <c r="E44" s="10" t="s">
        <v>245</v>
      </c>
      <c r="F44" s="43"/>
      <c r="G44" s="44"/>
      <c r="H44" s="44"/>
      <c r="I44" s="44">
        <f>'Poverty info'!B21</f>
        <v>0</v>
      </c>
      <c r="J44" s="44"/>
      <c r="K44" s="44"/>
      <c r="L44" s="45" t="e">
        <f t="shared" si="5"/>
        <v>#DIV/0!</v>
      </c>
      <c r="M44" s="44"/>
      <c r="N44" s="44"/>
    </row>
    <row r="45" spans="1:14" ht="30" x14ac:dyDescent="0.25">
      <c r="A45" s="278"/>
      <c r="B45" s="11" t="s">
        <v>246</v>
      </c>
      <c r="C45" s="280"/>
      <c r="D45" s="10" t="s">
        <v>247</v>
      </c>
      <c r="E45" s="10" t="s">
        <v>243</v>
      </c>
      <c r="F45" s="43"/>
      <c r="G45" s="44"/>
      <c r="H45" s="44"/>
      <c r="I45" s="44">
        <f>'Poverty info'!B22</f>
        <v>0</v>
      </c>
      <c r="J45" s="44"/>
      <c r="K45" s="44"/>
      <c r="L45" s="45" t="e">
        <f t="shared" si="5"/>
        <v>#DIV/0!</v>
      </c>
      <c r="M45" s="44"/>
      <c r="N45" s="44"/>
    </row>
    <row r="46" spans="1:14" ht="30" x14ac:dyDescent="0.25">
      <c r="A46" s="278"/>
      <c r="B46" s="10" t="s">
        <v>248</v>
      </c>
      <c r="C46" s="280" t="s">
        <v>249</v>
      </c>
      <c r="D46" s="10"/>
      <c r="E46" s="10"/>
      <c r="F46" s="43"/>
      <c r="G46" s="44"/>
      <c r="H46" s="44"/>
      <c r="I46" s="44"/>
      <c r="J46" s="44"/>
      <c r="K46" s="44"/>
      <c r="L46" s="45"/>
      <c r="M46" s="44"/>
      <c r="N46" s="44"/>
    </row>
    <row r="47" spans="1:14" x14ac:dyDescent="0.25">
      <c r="A47" s="278"/>
      <c r="B47" s="11" t="s">
        <v>22</v>
      </c>
      <c r="C47" s="280"/>
      <c r="D47" s="10" t="s">
        <v>240</v>
      </c>
      <c r="E47" s="10" t="s">
        <v>250</v>
      </c>
      <c r="F47" s="43"/>
      <c r="G47" s="44"/>
      <c r="H47" s="44"/>
      <c r="I47" s="44">
        <f>'Poverty info'!B20</f>
        <v>0</v>
      </c>
      <c r="J47" s="44"/>
      <c r="K47" s="44"/>
      <c r="L47" s="45" t="e">
        <f t="shared" si="5"/>
        <v>#DIV/0!</v>
      </c>
      <c r="M47" s="44"/>
      <c r="N47" s="44"/>
    </row>
    <row r="48" spans="1:14" ht="30" x14ac:dyDescent="0.25">
      <c r="A48" s="278"/>
      <c r="B48" s="11" t="s">
        <v>23</v>
      </c>
      <c r="C48" s="280"/>
      <c r="D48" s="10" t="s">
        <v>242</v>
      </c>
      <c r="E48" s="10" t="s">
        <v>251</v>
      </c>
      <c r="F48" s="43"/>
      <c r="G48" s="44"/>
      <c r="H48" s="44"/>
      <c r="I48" s="44">
        <f>'Poverty info'!B19</f>
        <v>0</v>
      </c>
      <c r="J48" s="44"/>
      <c r="K48" s="44"/>
      <c r="L48" s="45" t="e">
        <f t="shared" si="5"/>
        <v>#DIV/0!</v>
      </c>
      <c r="M48" s="44"/>
      <c r="N48" s="44"/>
    </row>
    <row r="49" spans="1:14" x14ac:dyDescent="0.25">
      <c r="A49" s="278"/>
      <c r="B49" s="11" t="s">
        <v>116</v>
      </c>
      <c r="C49" s="280"/>
      <c r="D49" s="10" t="s">
        <v>244</v>
      </c>
      <c r="E49" s="10" t="s">
        <v>252</v>
      </c>
      <c r="F49" s="43"/>
      <c r="G49" s="44"/>
      <c r="H49" s="44"/>
      <c r="I49" s="44">
        <f>'Poverty info'!B18</f>
        <v>0</v>
      </c>
      <c r="J49" s="44"/>
      <c r="K49" s="44"/>
      <c r="L49" s="45" t="e">
        <f t="shared" si="5"/>
        <v>#DIV/0!</v>
      </c>
      <c r="M49" s="44"/>
      <c r="N49" s="44"/>
    </row>
    <row r="50" spans="1:14" ht="30" x14ac:dyDescent="0.25">
      <c r="A50" s="278"/>
      <c r="B50" s="11" t="s">
        <v>246</v>
      </c>
      <c r="C50" s="280"/>
      <c r="D50" s="10" t="s">
        <v>247</v>
      </c>
      <c r="E50" s="10" t="s">
        <v>253</v>
      </c>
      <c r="F50" s="43"/>
      <c r="G50" s="44"/>
      <c r="H50" s="44"/>
      <c r="I50" s="44">
        <f>'Poverty info'!B17</f>
        <v>0</v>
      </c>
      <c r="J50" s="44"/>
      <c r="K50" s="44"/>
      <c r="L50" s="45" t="e">
        <f t="shared" si="5"/>
        <v>#DIV/0!</v>
      </c>
      <c r="M50" s="44"/>
      <c r="N50" s="44"/>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Inventory of Schemes</vt:lpstr>
      <vt:lpstr>Scheme 1</vt:lpstr>
      <vt:lpstr>Scheme 2</vt:lpstr>
      <vt:lpstr>Scheme 3</vt:lpstr>
      <vt:lpstr>Scheme 4</vt:lpstr>
      <vt:lpstr>Scheme 5</vt:lpstr>
      <vt:lpstr>Scheme 6</vt:lpstr>
      <vt:lpstr>Scheme 7</vt:lpstr>
      <vt:lpstr>Scheme 8</vt:lpstr>
      <vt:lpstr>Scheme 9</vt:lpstr>
      <vt:lpstr>Scheme 10</vt:lpstr>
      <vt:lpstr>Scheme 11</vt:lpstr>
      <vt:lpstr>Scheme 12</vt:lpstr>
      <vt:lpstr>Scheme 13</vt:lpstr>
      <vt:lpstr>Scheme 14</vt:lpstr>
      <vt:lpstr>Scheme 15</vt:lpstr>
      <vt:lpstr>Scheme 16</vt:lpstr>
      <vt:lpstr>Scheme 17</vt:lpstr>
      <vt:lpstr>Scheme 18</vt:lpstr>
      <vt:lpstr>Scheme 19</vt:lpstr>
      <vt:lpstr>Scheme 20</vt:lpstr>
      <vt:lpstr>Scheme 21</vt:lpstr>
      <vt:lpstr>Scheme 22</vt:lpstr>
      <vt:lpstr>Scheme 23</vt:lpstr>
      <vt:lpstr>Scheme 24</vt:lpstr>
      <vt:lpstr>Scheme 25</vt:lpstr>
      <vt:lpstr>Scheme 26</vt:lpstr>
      <vt:lpstr>Scheme 27</vt:lpstr>
      <vt:lpstr>Scheme 28</vt:lpstr>
      <vt:lpstr>Scheme 29</vt:lpstr>
      <vt:lpstr>Scheme 30</vt:lpstr>
      <vt:lpstr>Scheme 31</vt:lpstr>
      <vt:lpstr>Scheme 32</vt:lpstr>
      <vt:lpstr>Scheme 33</vt:lpstr>
      <vt:lpstr>Scheme 34</vt:lpstr>
      <vt:lpstr>Scheme 35</vt:lpstr>
      <vt:lpstr>Scheme 36</vt:lpstr>
      <vt:lpstr>Scheme 37</vt:lpstr>
      <vt:lpstr>Scheme 38</vt:lpstr>
      <vt:lpstr>Scheme 39</vt:lpstr>
      <vt:lpstr>Scheme 40</vt:lpstr>
      <vt:lpstr>Poverty info</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'Inventory of Schemes'!Print_Area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Amy Reidy</cp:lastModifiedBy>
  <cp:lastPrinted>2019-03-20T13:12:55Z</cp:lastPrinted>
  <dcterms:created xsi:type="dcterms:W3CDTF">2018-04-19T13:37:25Z</dcterms:created>
  <dcterms:modified xsi:type="dcterms:W3CDTF">2023-02-28T13:51:14Z</dcterms:modified>
</cp:coreProperties>
</file>